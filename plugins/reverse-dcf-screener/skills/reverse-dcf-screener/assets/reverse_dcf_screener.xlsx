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name="วิธีใช้" sheetId="1" state="visible" r:id="rId1"/>
    <sheet name="WACC_Damodaran" sheetId="2" state="visible" r:id="rId2"/>
    <sheet name="Engine" sheetId="3" state="visible" r:id="rId3"/>
    <sheet name="Screener" sheetId="4" state="visible" r:id="rId4"/>
    <sheet name="AI_Prompts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$#,##0.0;&quot;($&quot;#,##0.0\);\-"/>
    <numFmt numFmtId="166" formatCode="0.0&quot; pp&quot;"/>
    <numFmt numFmtId="167" formatCode="0.0%;\(0.0%\);\-"/>
    <numFmt numFmtId="168" formatCode="\$#,##0.00"/>
  </numFmts>
  <fonts count="48">
    <font>
      <name val="Calibri"/>
      <charset val="1"/>
      <family val="2"/>
      <color theme="1"/>
      <sz val="11"/>
    </font>
    <font>
      <name val="Tahoma"/>
      <charset val="1"/>
      <b val="1"/>
      <color rgb="FFFFFFFF"/>
      <sz val="16"/>
    </font>
    <font>
      <name val="Tahoma"/>
      <charset val="1"/>
      <color rgb="FFFFFFFF"/>
      <sz val="10"/>
    </font>
    <font>
      <name val="Tahoma"/>
      <charset val="1"/>
      <color rgb="FF000000"/>
      <sz val="10"/>
    </font>
    <font>
      <name val="Tahoma"/>
      <charset val="1"/>
      <b val="1"/>
      <color rgb="FF0F2742"/>
      <sz val="10"/>
    </font>
    <font>
      <name val="Tahoma"/>
      <charset val="1"/>
      <b val="1"/>
      <color rgb="FFFFFFFF"/>
      <sz val="13"/>
    </font>
    <font>
      <name val="Tahoma"/>
      <charset val="1"/>
      <b val="1"/>
      <color rgb="FFC00000"/>
      <sz val="9"/>
    </font>
    <font>
      <name val="Tahoma"/>
      <charset val="1"/>
      <b val="1"/>
      <color rgb="FFC9A24B"/>
      <sz val="10"/>
    </font>
    <font>
      <name val="Tahoma"/>
      <charset val="1"/>
      <color rgb="FF0000FF"/>
      <sz val="10"/>
    </font>
    <font>
      <name val="Tahoma"/>
      <charset val="1"/>
      <i val="1"/>
      <color rgb="FF808080"/>
      <sz val="9"/>
    </font>
    <font>
      <name val="Tahoma"/>
      <charset val="1"/>
      <b val="1"/>
      <color rgb="FFFFFFFF"/>
      <sz val="14"/>
    </font>
    <font>
      <name val="Tahoma"/>
      <charset val="1"/>
      <b val="1"/>
      <color rgb="FFC9A24B"/>
      <sz val="11"/>
    </font>
    <font>
      <name val="Tahoma"/>
      <charset val="1"/>
      <i val="1"/>
      <color rgb="FF000000"/>
      <sz val="10"/>
    </font>
    <font>
      <name val="Tahoma"/>
      <charset val="1"/>
      <color rgb="FF008000"/>
      <sz val="10"/>
    </font>
    <font>
      <name val="Tahoma"/>
      <charset val="1"/>
      <b val="1"/>
      <color rgb="FF000000"/>
      <sz val="10"/>
    </font>
    <font>
      <name val="Tahoma"/>
      <charset val="1"/>
      <b val="1"/>
      <color rgb="FFC00000"/>
      <sz val="12"/>
    </font>
    <font>
      <name val="Tahoma"/>
      <charset val="1"/>
      <b val="1"/>
      <color rgb="FF006100"/>
      <sz val="12"/>
    </font>
    <font>
      <name val="Tahoma"/>
      <charset val="1"/>
      <b val="1"/>
      <color rgb="FF000000"/>
      <sz val="12"/>
    </font>
    <font>
      <name val="FreeSans"/>
      <family val="2"/>
      <sz val="10"/>
    </font>
    <font>
      <name val="Arial"/>
      <family val="2"/>
      <sz val="10"/>
    </font>
    <font>
      <name val="Tahoma"/>
      <charset val="1"/>
      <color rgb="FF000000"/>
      <sz val="9"/>
    </font>
    <font>
      <name val="Tahoma"/>
      <charset val="1"/>
      <color rgb="FF0000FF"/>
      <sz val="9"/>
    </font>
    <font>
      <name val="Tahoma"/>
      <charset val="1"/>
      <b val="1"/>
      <color rgb="FFC9A24B"/>
      <sz val="9"/>
    </font>
    <font>
      <name val="Tahoma"/>
      <charset val="1"/>
      <color rgb="FF008000"/>
      <sz val="9"/>
    </font>
    <font>
      <name val="Cambria"/>
      <charset val="1"/>
      <sz val="11"/>
    </font>
    <font>
      <name val="Tahoma"/>
      <charset val="1"/>
      <b val="1"/>
      <color rgb="FF0F2742"/>
      <sz val="11"/>
    </font>
    <font>
      <name val="Tahoma"/>
      <b val="1"/>
      <color rgb="FFFFFFFF"/>
      <sz val="12"/>
    </font>
    <font>
      <name val="Tahoma"/>
      <i val="1"/>
      <color theme="1"/>
      <sz val="9"/>
    </font>
    <font>
      <name val="Tahoma"/>
      <b val="1"/>
      <color rgb="FFC9A24B"/>
      <sz val="10"/>
    </font>
    <font>
      <name val="Tahoma"/>
      <b val="1"/>
      <color rgb="FFFFFFFF"/>
      <sz val="10"/>
    </font>
    <font>
      <name val="Tahoma"/>
      <color theme="1"/>
      <sz val="11"/>
    </font>
    <font>
      <name val="Tahoma"/>
      <color theme="1"/>
      <sz val="10"/>
    </font>
    <font>
      <name val="Tahoma"/>
      <b val="1"/>
      <color rgb="FFC9A24B"/>
      <sz val="11"/>
    </font>
    <font>
      <name val="Calibri"/>
      <charset val="1"/>
      <family val="2"/>
      <color theme="1"/>
      <sz val="10"/>
    </font>
    <font>
      <name val="Tahoma"/>
      <color rgb="FF0000FF"/>
      <sz val="10"/>
    </font>
    <font>
      <name val="Tahoma"/>
      <i val="1"/>
      <color theme="1"/>
      <sz val="10"/>
    </font>
    <font>
      <name val="Calibri"/>
      <charset val="1"/>
      <family val="2"/>
      <b val="1"/>
      <color rgb="FFC9A24B"/>
      <sz val="11"/>
    </font>
    <font>
      <name val="Tahoma"/>
      <b val="1"/>
      <color theme="1"/>
      <sz val="10"/>
    </font>
    <font>
      <name val="Tahoma"/>
      <color indexed="81"/>
      <sz val="9"/>
    </font>
    <font>
      <name val="Tahoma"/>
      <b val="1"/>
      <color indexed="81"/>
      <sz val="9"/>
    </font>
    <font>
      <name val="Tahoma"/>
      <b val="1"/>
      <color rgb="FFFFFFFF"/>
      <sz val="13"/>
    </font>
    <font>
      <name val="Tahoma"/>
      <b val="1"/>
      <color rgb="FFB22222"/>
      <sz val="11"/>
    </font>
    <font>
      <name val="Tahoma"/>
      <b val="1"/>
      <color theme="1"/>
      <sz val="12"/>
    </font>
    <font>
      <name val="Tahoma"/>
      <i val="1"/>
      <color rgb="FF666666"/>
      <sz val="9"/>
    </font>
    <font>
      <name val="Tahoma"/>
      <color rgb="FF000000"/>
      <sz val="10"/>
    </font>
    <font>
      <name val="Tahoma"/>
      <color rgb="FF008000"/>
      <sz val="10"/>
    </font>
    <font>
      <name val="Tahoma"/>
      <i val="1"/>
      <color rgb="FF000000"/>
      <sz val="10"/>
    </font>
    <font>
      <name val="Calibri"/>
      <charset val="1"/>
      <family val="2"/>
      <b val="1"/>
      <color rgb="FFC9A24B"/>
      <sz val="12"/>
    </font>
  </fonts>
  <fills count="17">
    <fill>
      <patternFill/>
    </fill>
    <fill>
      <patternFill patternType="gray125"/>
    </fill>
    <fill>
      <patternFill patternType="solid">
        <fgColor rgb="FF0F2742"/>
        <bgColor rgb="FF1B3A5C"/>
      </patternFill>
    </fill>
    <fill>
      <patternFill patternType="solid">
        <fgColor rgb="FF1B3A5C"/>
        <bgColor rgb="FF0F2742"/>
      </patternFill>
    </fill>
    <fill>
      <patternFill patternType="solid">
        <fgColor rgb="FFFFF7D6"/>
        <bgColor rgb="FFF4F6F8"/>
      </patternFill>
    </fill>
    <fill>
      <patternFill patternType="solid">
        <fgColor rgb="FFFCE4E4"/>
        <bgColor rgb="FFFFF7D6"/>
      </patternFill>
    </fill>
    <fill>
      <patternFill patternType="solid">
        <fgColor rgb="FFE2EFDA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0F2742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CDD2"/>
        <bgColor indexed="64"/>
      </patternFill>
    </fill>
  </fills>
  <borders count="20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  <diagonal/>
    </border>
    <border>
      <left style="thin">
        <color rgb="FFBFC8D2"/>
      </left>
      <right/>
      <top style="thin">
        <color rgb="FFBFC8D2"/>
      </top>
      <bottom style="thin">
        <color rgb="FFBFC8D2"/>
      </bottom>
      <diagonal/>
    </border>
    <border>
      <left/>
      <right style="thin">
        <color rgb="FFBFC8D2"/>
      </right>
      <top style="thin">
        <color rgb="FFBFC8D2"/>
      </top>
      <bottom style="thin">
        <color rgb="FFBFC8D2"/>
      </bottom>
      <diagonal/>
    </border>
    <border>
      <left style="thin">
        <color rgb="FFBFC8D2"/>
      </left>
      <right style="thin">
        <color rgb="FFBFC8D2"/>
      </right>
      <top style="thin">
        <color rgb="FFBFC8D2"/>
      </top>
      <bottom/>
      <diagonal/>
    </border>
    <border>
      <left style="thin">
        <color rgb="FFBFC8D2"/>
      </left>
      <right style="thin">
        <color rgb="FFBFC8D2"/>
      </right>
      <top/>
      <bottom style="thin">
        <color rgb="FFBFC8D2"/>
      </bottom>
      <diagonal/>
    </border>
    <border>
      <left style="thick">
        <color rgb="FFC9A24B"/>
      </left>
      <right style="thick">
        <color rgb="FFC9A24B"/>
      </right>
      <top style="thick">
        <color rgb="FFC9A24B"/>
      </top>
      <bottom style="thick">
        <color rgb="FFC9A24B"/>
      </bottom>
      <diagonal/>
    </border>
    <border>
      <left/>
      <right/>
      <top style="thick">
        <color rgb="FF0F2742"/>
      </top>
      <bottom/>
      <diagonal/>
    </border>
    <border>
      <left/>
      <right/>
      <top/>
      <bottom style="thick">
        <color rgb="FF0F2742"/>
      </bottom>
      <diagonal/>
    </border>
    <border>
      <left style="thick">
        <color rgb="FF0F2742"/>
      </left>
      <right/>
      <top style="thick">
        <color rgb="FF0F2742"/>
      </top>
      <bottom/>
      <diagonal/>
    </border>
    <border>
      <left style="thick">
        <color rgb="FF0F2742"/>
      </left>
      <right/>
      <top/>
      <bottom/>
      <diagonal/>
    </border>
    <border>
      <left style="thick">
        <color rgb="FF0F2742"/>
      </left>
      <right/>
      <top/>
      <bottom style="thick">
        <color rgb="FF0F2742"/>
      </bottom>
      <diagonal/>
    </border>
    <border>
      <left/>
      <right style="thick">
        <color rgb="FF0F2742"/>
      </right>
      <top style="thick">
        <color rgb="FF0F2742"/>
      </top>
      <bottom/>
      <diagonal/>
    </border>
    <border>
      <left/>
      <right style="thick">
        <color rgb="FF0F2742"/>
      </right>
      <top/>
      <bottom/>
      <diagonal/>
    </border>
    <border>
      <left/>
      <right style="thick">
        <color rgb="FF0F2742"/>
      </right>
      <top/>
      <bottom style="thick">
        <color rgb="FF0F2742"/>
      </bottom>
      <diagonal/>
    </border>
    <border>
      <left style="thick">
        <color rgb="FF0F2742"/>
      </left>
      <right style="thick">
        <color rgb="FF0F2742"/>
      </right>
      <top/>
      <bottom style="thick">
        <color rgb="FF0F2742"/>
      </bottom>
      <diagonal/>
    </border>
    <border>
      <left/>
      <right/>
      <top style="thin">
        <color rgb="FFBFC8D2"/>
      </top>
      <bottom/>
      <diagonal/>
    </border>
    <border>
      <left/>
      <right style="thin">
        <color rgb="FFBFC8D2"/>
      </right>
      <top style="thin">
        <color rgb="FFBFC8D2"/>
      </top>
      <bottom/>
      <diagonal/>
    </border>
    <border>
      <left style="thick">
        <color rgb="FF0F2742"/>
      </left>
      <right style="thick">
        <color rgb="FF0F2742"/>
      </right>
      <top style="thick">
        <color rgb="FF0F2742"/>
      </top>
      <bottom/>
      <diagonal/>
    </border>
    <border>
      <left style="thick">
        <color rgb="FF0F2742"/>
      </left>
      <right style="thick">
        <color rgb="FF0F2742"/>
      </right>
      <top/>
      <bottom/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9" fillId="0" borderId="0" pivotButton="0" quotePrefix="0" xfId="0"/>
    <xf numFmtId="0" fontId="7" fillId="3" borderId="0" pivotButton="0" quotePrefix="0" xfId="0"/>
    <xf numFmtId="0" fontId="6" fillId="0" borderId="0" pivotButton="0" quotePrefix="0" xfId="0"/>
    <xf numFmtId="0" fontId="5" fillId="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164" fontId="21" fillId="4" borderId="1" applyAlignment="1" pivotButton="0" quotePrefix="0" xfId="0">
      <alignment horizontal="center" vertical="center" wrapText="1"/>
    </xf>
    <xf numFmtId="2" fontId="21" fillId="4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164" fontId="23" fillId="0" borderId="1" applyAlignment="1" pivotButton="0" quotePrefix="0" xfId="0">
      <alignment horizontal="center" vertical="center" wrapText="1"/>
    </xf>
    <xf numFmtId="165" fontId="21" fillId="4" borderId="1" applyAlignment="1" pivotButton="0" quotePrefix="0" xfId="0">
      <alignment horizontal="center" vertical="center" wrapText="1"/>
    </xf>
    <xf numFmtId="1" fontId="21" fillId="4" borderId="1" applyAlignment="1" pivotButton="0" quotePrefix="0" xfId="0">
      <alignment horizontal="center" vertical="center" wrapText="1"/>
    </xf>
    <xf numFmtId="164" fontId="20" fillId="0" borderId="1" applyAlignment="1" pivotButton="0" quotePrefix="0" xfId="0">
      <alignment horizontal="center" vertical="center" wrapText="1"/>
    </xf>
    <xf numFmtId="166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0" borderId="0" pivotButton="0" quotePrefix="0" xfId="0"/>
    <xf numFmtId="0" fontId="3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26" fillId="8" borderId="0" pivotButton="0" quotePrefix="0" xfId="0"/>
    <xf numFmtId="0" fontId="0" fillId="8" borderId="0" pivotButton="0" quotePrefix="0" xfId="0"/>
    <xf numFmtId="0" fontId="27" fillId="0" borderId="0" pivotButton="0" quotePrefix="0" xfId="0"/>
    <xf numFmtId="0" fontId="28" fillId="9" borderId="0" applyAlignment="1" pivotButton="0" quotePrefix="0" xfId="0">
      <alignment horizontal="center"/>
    </xf>
    <xf numFmtId="164" fontId="29" fillId="9" borderId="0" applyAlignment="1" pivotButton="0" quotePrefix="0" xfId="0">
      <alignment horizontal="center"/>
    </xf>
    <xf numFmtId="164" fontId="31" fillId="0" borderId="1" applyAlignment="1" pivotButton="0" quotePrefix="0" xfId="0">
      <alignment horizontal="center"/>
    </xf>
    <xf numFmtId="0" fontId="33" fillId="0" borderId="0" pivotButton="0" quotePrefix="0" xfId="0"/>
    <xf numFmtId="167" fontId="31" fillId="0" borderId="3" applyAlignment="1" pivotButton="0" quotePrefix="0" xfId="0">
      <alignment horizontal="center"/>
    </xf>
    <xf numFmtId="0" fontId="28" fillId="9" borderId="1" applyAlignment="1" pivotButton="0" quotePrefix="0" xfId="0">
      <alignment horizontal="center"/>
    </xf>
    <xf numFmtId="164" fontId="29" fillId="9" borderId="1" applyAlignment="1" pivotButton="0" quotePrefix="0" xfId="0">
      <alignment horizontal="center"/>
    </xf>
    <xf numFmtId="167" fontId="31" fillId="0" borderId="1" applyAlignment="1" pivotButton="0" quotePrefix="0" xfId="0">
      <alignment horizontal="center"/>
    </xf>
    <xf numFmtId="168" fontId="29" fillId="9" borderId="1" applyAlignment="1" pivotButton="0" quotePrefix="0" xfId="0">
      <alignment horizontal="center"/>
    </xf>
    <xf numFmtId="0" fontId="40" fillId="8" borderId="9" applyAlignment="1" pivotButton="0" quotePrefix="0" xfId="0">
      <alignment horizontal="center"/>
    </xf>
    <xf numFmtId="0" fontId="30" fillId="0" borderId="7" pivotButton="0" quotePrefix="0" xfId="0"/>
    <xf numFmtId="0" fontId="30" fillId="0" borderId="12" pivotButton="0" quotePrefix="0" xfId="0"/>
    <xf numFmtId="0" fontId="30" fillId="0" borderId="10" pivotButton="0" quotePrefix="0" xfId="0"/>
    <xf numFmtId="0" fontId="30" fillId="0" borderId="0" pivotButton="0" quotePrefix="0" xfId="0"/>
    <xf numFmtId="0" fontId="30" fillId="0" borderId="13" pivotButton="0" quotePrefix="0" xfId="0"/>
    <xf numFmtId="0" fontId="41" fillId="11" borderId="10" applyAlignment="1" pivotButton="0" quotePrefix="0" xfId="0">
      <alignment horizontal="center"/>
    </xf>
    <xf numFmtId="0" fontId="40" fillId="12" borderId="10" applyAlignment="1" pivotButton="0" quotePrefix="0" xfId="0">
      <alignment horizontal="center"/>
    </xf>
    <xf numFmtId="0" fontId="32" fillId="9" borderId="10" applyAlignment="1" pivotButton="0" quotePrefix="0" xfId="0">
      <alignment horizontal="center"/>
    </xf>
    <xf numFmtId="0" fontId="31" fillId="0" borderId="10" applyAlignment="1" pivotButton="0" quotePrefix="0" xfId="0">
      <alignment wrapText="1"/>
    </xf>
    <xf numFmtId="0" fontId="37" fillId="13" borderId="10" pivotButton="0" quotePrefix="0" xfId="0"/>
    <xf numFmtId="168" fontId="42" fillId="13" borderId="0" applyAlignment="1" pivotButton="0" quotePrefix="0" xfId="0">
      <alignment horizontal="center"/>
    </xf>
    <xf numFmtId="0" fontId="37" fillId="14" borderId="10" pivotButton="0" quotePrefix="0" xfId="0"/>
    <xf numFmtId="168" fontId="42" fillId="14" borderId="0" applyAlignment="1" pivotButton="0" quotePrefix="0" xfId="0">
      <alignment horizontal="center"/>
    </xf>
    <xf numFmtId="0" fontId="37" fillId="15" borderId="10" pivotButton="0" quotePrefix="0" xfId="0"/>
    <xf numFmtId="0" fontId="42" fillId="15" borderId="0" applyAlignment="1" pivotButton="0" quotePrefix="0" xfId="0">
      <alignment horizontal="center"/>
    </xf>
    <xf numFmtId="0" fontId="37" fillId="16" borderId="10" pivotButton="0" quotePrefix="0" xfId="0"/>
    <xf numFmtId="0" fontId="42" fillId="16" borderId="0" applyAlignment="1" pivotButton="0" quotePrefix="0" xfId="0">
      <alignment horizontal="center"/>
    </xf>
    <xf numFmtId="0" fontId="43" fillId="0" borderId="11" applyAlignment="1" pivotButton="0" quotePrefix="0" xfId="0">
      <alignment wrapText="1"/>
    </xf>
    <xf numFmtId="0" fontId="30" fillId="0" borderId="8" pivotButton="0" quotePrefix="0" xfId="0"/>
    <xf numFmtId="0" fontId="30" fillId="0" borderId="14" pivotButton="0" quotePrefix="0" xfId="0"/>
    <xf numFmtId="0" fontId="44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167" fontId="31" fillId="0" borderId="4" applyAlignment="1" pivotButton="0" quotePrefix="0" xfId="0">
      <alignment horizontal="center"/>
    </xf>
    <xf numFmtId="167" fontId="31" fillId="0" borderId="2" applyAlignment="1" pivotButton="0" quotePrefix="0" xfId="0">
      <alignment horizontal="center"/>
    </xf>
    <xf numFmtId="167" fontId="37" fillId="0" borderId="6" applyAlignment="1" pivotButton="0" quotePrefix="0" xfId="0">
      <alignment horizontal="center"/>
    </xf>
    <xf numFmtId="167" fontId="31" fillId="0" borderId="5" applyAlignment="1" pivotButton="0" quotePrefix="0" xfId="0">
      <alignment horizontal="center"/>
    </xf>
    <xf numFmtId="0" fontId="8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left" vertical="center"/>
    </xf>
    <xf numFmtId="164" fontId="14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8" fillId="4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2" fontId="8" fillId="4" borderId="1" applyAlignment="1" pivotButton="0" quotePrefix="0" xfId="0">
      <alignment horizontal="left" vertical="center"/>
    </xf>
    <xf numFmtId="167" fontId="45" fillId="0" borderId="0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left" vertical="center"/>
    </xf>
    <xf numFmtId="167" fontId="44" fillId="0" borderId="1" applyAlignment="1" pivotButton="0" quotePrefix="0" xfId="0">
      <alignment horizontal="left" vertical="center"/>
    </xf>
    <xf numFmtId="164" fontId="16" fillId="6" borderId="1" applyAlignment="1" pivotButton="0" quotePrefix="0" xfId="0">
      <alignment horizontal="left" vertical="center"/>
    </xf>
    <xf numFmtId="166" fontId="14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 wrapText="1"/>
    </xf>
    <xf numFmtId="0" fontId="32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168" fontId="34" fillId="1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3" fontId="34" fillId="10" borderId="0" applyAlignment="1" pivotButton="0" quotePrefix="0" xfId="0">
      <alignment horizontal="left" vertical="center"/>
    </xf>
    <xf numFmtId="165" fontId="34" fillId="1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165" fontId="31" fillId="0" borderId="0" applyAlignment="1" pivotButton="0" quotePrefix="0" xfId="0">
      <alignment horizontal="left" vertical="center"/>
    </xf>
    <xf numFmtId="0" fontId="32" fillId="8" borderId="0" applyAlignment="1" pivotButton="0" quotePrefix="0" xfId="0">
      <alignment horizontal="left" vertical="center"/>
    </xf>
    <xf numFmtId="0" fontId="34" fillId="10" borderId="0" applyAlignment="1" pivotButton="0" quotePrefix="0" xfId="0">
      <alignment horizontal="left" vertical="center"/>
    </xf>
    <xf numFmtId="167" fontId="37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47" fillId="0" borderId="0" pivotButton="0" quotePrefix="0" xfId="0"/>
    <xf numFmtId="0" fontId="36" fillId="0" borderId="0" pivotButton="0" quotePrefix="0" xfId="0"/>
    <xf numFmtId="168" fontId="29" fillId="9" borderId="1" applyAlignment="1" pivotButton="0" quotePrefix="0" xfId="0">
      <alignment horizontal="center"/>
    </xf>
    <xf numFmtId="167" fontId="31" fillId="0" borderId="1" applyAlignment="1" pivotButton="0" quotePrefix="0" xfId="0">
      <alignment horizontal="center"/>
    </xf>
    <xf numFmtId="167" fontId="31" fillId="0" borderId="4" applyAlignment="1" pivotButton="0" quotePrefix="0" xfId="0">
      <alignment horizontal="center"/>
    </xf>
    <xf numFmtId="167" fontId="31" fillId="0" borderId="2" applyAlignment="1" pivotButton="0" quotePrefix="0" xfId="0">
      <alignment horizontal="center"/>
    </xf>
    <xf numFmtId="167" fontId="37" fillId="0" borderId="6" applyAlignment="1" pivotButton="0" quotePrefix="0" xfId="0">
      <alignment horizontal="center"/>
    </xf>
    <xf numFmtId="167" fontId="31" fillId="0" borderId="3" applyAlignment="1" pivotButton="0" quotePrefix="0" xfId="0">
      <alignment horizontal="center"/>
    </xf>
    <xf numFmtId="167" fontId="31" fillId="0" borderId="5" applyAlignment="1" pivotButton="0" quotePrefix="0" xfId="0">
      <alignment horizontal="center"/>
    </xf>
    <xf numFmtId="167" fontId="45" fillId="0" borderId="0" applyAlignment="1" pivotButton="0" quotePrefix="0" xfId="0">
      <alignment horizontal="left" vertical="center"/>
    </xf>
    <xf numFmtId="0" fontId="40" fillId="8" borderId="18" applyAlignment="1" pivotButton="0" quotePrefix="0" xfId="0">
      <alignment horizontal="center"/>
    </xf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41" fillId="11" borderId="19" applyAlignment="1" pivotButton="0" quotePrefix="0" xfId="0">
      <alignment horizontal="center"/>
    </xf>
    <xf numFmtId="0" fontId="40" fillId="12" borderId="19" applyAlignment="1" pivotButton="0" quotePrefix="0" xfId="0">
      <alignment horizontal="center"/>
    </xf>
    <xf numFmtId="0" fontId="32" fillId="9" borderId="19" applyAlignment="1" pivotButton="0" quotePrefix="0" xfId="0">
      <alignment horizontal="center"/>
    </xf>
    <xf numFmtId="0" fontId="31" fillId="0" borderId="19" applyAlignment="1" pivotButton="0" quotePrefix="0" xfId="0">
      <alignment wrapText="1"/>
    </xf>
    <xf numFmtId="167" fontId="44" fillId="0" borderId="1" applyAlignment="1" pivotButton="0" quotePrefix="0" xfId="0">
      <alignment horizontal="left" vertical="center"/>
    </xf>
    <xf numFmtId="168" fontId="42" fillId="13" borderId="13" applyAlignment="1" pivotButton="0" quotePrefix="0" xfId="0">
      <alignment horizontal="center"/>
    </xf>
    <xf numFmtId="168" fontId="42" fillId="14" borderId="13" applyAlignment="1" pivotButton="0" quotePrefix="0" xfId="0">
      <alignment horizontal="center"/>
    </xf>
    <xf numFmtId="0" fontId="42" fillId="15" borderId="13" applyAlignment="1" pivotButton="0" quotePrefix="0" xfId="0">
      <alignment horizontal="center"/>
    </xf>
    <xf numFmtId="0" fontId="42" fillId="16" borderId="13" applyAlignment="1" pivotButton="0" quotePrefix="0" xfId="0">
      <alignment horizontal="center"/>
    </xf>
    <xf numFmtId="0" fontId="43" fillId="0" borderId="15" applyAlignment="1" pivotButton="0" quotePrefix="0" xfId="0">
      <alignment wrapText="1"/>
    </xf>
    <xf numFmtId="0" fontId="0" fillId="0" borderId="8" pivotButton="0" quotePrefix="0" xfId="0"/>
    <xf numFmtId="0" fontId="0" fillId="0" borderId="14" pivotButton="0" quotePrefix="0" xfId="0"/>
    <xf numFmtId="0" fontId="0" fillId="0" borderId="3" pivotButton="0" quotePrefix="0" xfId="0"/>
    <xf numFmtId="168" fontId="34" fillId="10" borderId="0" applyAlignment="1" pivotButton="0" quotePrefix="0" xfId="0">
      <alignment horizontal="left" vertical="center"/>
    </xf>
    <xf numFmtId="167" fontId="37" fillId="0" borderId="0" applyAlignment="1" pivotButton="0" quotePrefix="0" xfId="0">
      <alignment horizontal="left" vertical="center"/>
    </xf>
  </cellXfs>
  <cellStyles count="1">
    <cellStyle name="Normal" xfId="0" builtinId="0"/>
  </cellStyles>
  <dxfs count="9"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ont>
        <b val="1"/>
        <color rgb="FFFFFFFF"/>
      </font>
      <fill>
        <patternFill patternType="solid">
          <fgColor indexed="64"/>
          <bgColor rgb="FFF8696B"/>
        </patternFill>
      </fill>
    </dxf>
    <dxf>
      <font>
        <color rgb="FF000000"/>
      </font>
      <fill>
        <patternFill patternType="solid">
          <fgColor indexed="64"/>
          <bgColor rgb="FFFFEB84"/>
        </patternFill>
      </fill>
    </dxf>
    <dxf>
      <font>
        <b val="1"/>
        <color rgb="FF000000"/>
      </font>
      <fill>
        <patternFill patternType="solid">
          <fgColor indexed="64"/>
          <bgColor rgb="FF63BE7B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8D2"/>
      <rgbColor rgb="FF808080"/>
      <rgbColor rgb="FF9999FF"/>
      <rgbColor rgb="FF993366"/>
      <rgbColor rgb="FFFFF7D6"/>
      <rgbColor rgb="FFF4F6F8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4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1B3A5C"/>
      <rgbColor rgb="FF339966"/>
      <rgbColor rgb="FF006100"/>
      <rgbColor rgb="FF333300"/>
      <rgbColor rgb="FF993300"/>
      <rgbColor rgb="FF993366"/>
      <rgbColor rgb="FF333399"/>
      <rgbColor rgb="FF0F27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ศรารัญย์ คาน</author>
    <author>Unknown Author</author>
  </authors>
  <commentList>
    <comment ref="C5" authorId="0" shapeId="0">
      <text>
        <t>Source: Yahoo Finance Jun 1 2026 - Revenue TTM $757.07M (+104.8% YoY). Q1 FY26 (Sep 30, 2025) $240.3M (+355% YoY); Q3 FY25 $148.1M record. FY25 (ended Jun 30, 2025) $501M (+167.7%). ต้อง verify breakdown Bitcoin mining vs AI Cloud (current: ~75% Bitcoin / 25% AI Cloud, AI growing fast)</t>
      </text>
    </comment>
    <comment ref="C6" authorId="0" shapeId="0">
      <text>
        <t>Source: Yahoo Finance Jun 1 2026 | Mkt cap $23.36B (price $65.33 × 357.38M shares); cash $1.8B (Oct 31 2025); debt: $1B zero-coupon convertible + GPU financing commitments $3.6B (Goldman/JPM, &lt;6% interest). Net debt ~-$0.7B (net cash) ถ้า GPU financing ยังไม่ได้ draw → EV ~$22.6B. ต้อง verify Q3 FY26 10-Q (May 2026)</t>
      </text>
    </comment>
    <comment ref="C7" authorId="0" shapeId="0">
      <text>
        <t>IREN pivot Bitcoin mining → AI cloud infra. Damodaran sector match ใน WACC table ชื่อ 'Software (System/Application)' (ใช้ / ไม่ใช่ &amp;). WACC auto = 9.5%</t>
      </text>
    </comment>
    <comment ref="C9" authorId="0" shapeId="0">
      <text>
        <t>ศรารัญย์ คาน:
Clear override - ใช้ sector WACC auto</t>
      </text>
    </comment>
    <comment ref="C11" authorId="0" shapeId="0">
      <text>
        <t>Terminal EBIT margin: IREN Microsoft project EBITDA margin 85% (after power+maintenance, before corp overhead+financing+D&amp;A). After corporate + D&amp;A, EBIT margin ~30-40% สำหรับ AI cloud infra mature. FY25 op margin 3.5% (transitioning). ใช้ 35% mid hyperscaler/cloud.</t>
      </text>
    </comment>
    <comment ref="C13" authorId="0" shapeId="0">
      <text>
        <t>Terminal ROIC: capital-heavy (Dell GPU $5.8B + data center capex). FY25 ROIC ต่ำ (early buildout). Cloud infra mature 12-18% ใช้ 15% conservative. ต้อง verify peer AMZN/MSFT cloud ROIC.</t>
      </text>
    </comment>
    <comment ref="C14" authorId="0" shapeId="0">
      <text>
        <t>Tax rate: IREN จดทะเบียน Australia (corporate 30%); operations Texas/US (corp 21%). Effective blended ~25%. ต้อง verify จาก 10-K FY25 (Aug 28, 2025) effective tax rate</t>
      </text>
    </comment>
    <comment ref="C18" authorId="0" shapeId="0">
      <text>
        <t>REVISED Hist CAGR: ลดจาก 130% → 60% เพราะ FY23→FY25 158% มี base effect จาก Bitcoin halving + AI pivot. 60% = blend FY24→FY26E (รวม Microsoft ramp). Engine จะใช้ MAX(60%, Forward 44%) = 60% × 0.7 fade = Cap A 42%</t>
      </text>
    </comment>
    <comment ref="C20" authorId="0" shapeId="0">
      <text>
        <t>REVISED TAM: ลดจาก $400B (Goldman optimistic 2030) → $150B — จำกัดเฉพาะ merchant AI cloud (ไม่รวม hyperscaler captive AWS/MSFT/GCP). IDC AI infra $90-120B by 2027; รวม colocation + GPU rental → $150B realistic addressable</t>
      </text>
    </comment>
    <comment ref="C23" authorId="0" shapeId="0">
      <text>
        <t>ศรารัญย์ คาน:
Auto: จาก Consensus FY+1 Revenue (C50) / R0 (C5) - 1. ถ้าไม่มีข้อมูล C50 จะเป็นช่องว่าง และ Cap A จะ fallback ไป Hist × Fade</t>
      </text>
    </comment>
    <comment ref="C26" authorId="1" shapeId="0">
      <text>
        <t>ก้อนปลายทางที่ทำให้ค่าวันนี้ = EV เพราะเงินอนาคตถูก discount ด้วย WACC</t>
      </text>
    </comment>
    <comment ref="C33" authorId="0" shapeId="0">
      <text>
        <t>ศรารัญย์ คาน:
Logic ใหม่: หุ้น mature → Hist &gt; Forward → ใช้ Hist × Fade (เหมือนเดิม); หุ้น inflection (PL/RKLB) → Forward &gt; Hist → ใช้ Forward × Fade. ไม่ unfair หุ้นที่กำลังเร่ง</t>
      </text>
    </comment>
    <comment ref="C43" authorId="0" shapeId="0">
      <text>
        <t>Source: Yahoo Finance Jun 1 2026, market close price</t>
      </text>
    </comment>
    <comment ref="C44" authorId="0" shapeId="0">
      <text>
        <t>Source: Yahoo Finance Jun 1 2026, shares outstanding 357.38M</t>
      </text>
    </comment>
    <comment ref="C45" authorId="0" shapeId="0">
      <text>
        <t>Source: Q1 FY26 cash $1.8B (Oct 31 2025) - $1B convertible - small Trinity-equivalent debt. ถ้า GPU financing $3.6B ถูก draw down → net debt พลิกเป็น +$2.5B รวดเร็ว. ใช้ -$0.7B (net cash) base case. ต้อง verify Q3 FY26 10-Q</t>
      </text>
    </comment>
    <comment ref="C48" authorId="0" shapeId="0">
      <text>
        <t>Source: Yahoo Finance Jun 1 2026 - Analyst Price Target $79.04 (+22.14% upside vs $65.33)</t>
      </text>
    </comment>
    <comment ref="C49" authorId="0" shapeId="0">
      <text>
        <t>Source: Range ต่ำ ~$29.55 (Simply Wall St old consensus pre-MSFT) → high $100+ (post-MSFT deal). Wide dispersion เพราะ transition story</t>
      </text>
    </comment>
    <comment ref="C50" authorId="0" shapeId="0">
      <text>
        <t>Source: Consensus FY27 (ending Jun 30, 2027) revenue forecast ~$1.09-1.12B (Simply Wall St). Implies +44% YoY vs TTM $757M. ยังไม่รวม full ramp ของ Microsoft $1.94B/yr ARR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8"/>
  <sheetViews>
    <sheetView showGridLines="0" topLeftCell="A3" zoomScaleNormal="100" workbookViewId="0">
      <selection activeCell="L19" sqref="L19"/>
    </sheetView>
  </sheetViews>
  <sheetFormatPr baseColWidth="8" defaultColWidth="8.7109375" defaultRowHeight="15"/>
  <cols>
    <col width="2" customWidth="1" min="1" max="1"/>
    <col width="110" customWidth="1" min="2" max="2"/>
  </cols>
  <sheetData>
    <row r="1" ht="25.5" customHeight="1">
      <c r="B1" s="5" t="inlineStr">
        <is>
          <t>REVERSE DCF SCREENER — Terminal-Anchored</t>
        </is>
      </c>
    </row>
    <row r="2" ht="19.5" customHeight="1">
      <c r="B2" s="6" t="inlineStr">
        <is>
          <t>เครื่องมือคัดหุ้นด้วยความคาดหวังที่ราคาฝังไว้  |  จัดทำโดย Earthh Evans · แจกฟรีห้ามจำหน่าย</t>
        </is>
      </c>
    </row>
    <row r="4" ht="15.75" customHeight="1">
      <c r="B4" s="7" t="n"/>
    </row>
    <row r="5" ht="15.75" customHeight="1">
      <c r="B5" s="8" t="inlineStr">
        <is>
          <t>แนวคิด (ทำไมเครื่องมือนี้ต่างจาก screener ทั่วไป)</t>
        </is>
      </c>
    </row>
    <row r="6" ht="51.75" customHeight="1">
      <c r="B6" s="7" t="inlineStr">
        <is>
          <t>Screener ทั่วไปใช้ P/E, PEG, EV/EBITDA ย้อนหลัง = มองอดีต  เครื่องมือนี้พลิกคำถามเป็น "ราคาวันนี้กำลังเรียกร้องให้บริษัทโตปีละกี่ %" (Market-Implied CAGR) แล้วเทียบกับ "เพดานโตที่เป็นไปได้จริง" (Plausible CAGR)  ส่วนต่าง (Gap) = คำตอบว่าแพงหรือถูก  output ไม่ใช่ราคาเป้าหมาย (เปราะ) แต่เป็นเกจวัดความคาดหวัง (ทนทานกว่า)</t>
        </is>
      </c>
    </row>
    <row r="7" ht="21" customHeight="1">
      <c r="B7" s="7" t="n"/>
    </row>
    <row r="8" ht="21" customHeight="1">
      <c r="B8" s="8" t="inlineStr">
        <is>
          <t>ตรรกะหลัก (Terminal-Anchored Reverse DCF)</t>
        </is>
      </c>
    </row>
    <row r="9" ht="44.25" customHeight="1">
      <c r="B9" s="7" t="inlineStr">
        <is>
          <t>1) สมมติมูลค่าเกือบทั้งก้อนอยู่ปลายทาง (เหมาะกับหุ้น growth / pre-profit)   2) ก้อนปลายทาง TV(ปีN)=EV×(1+WACC)^N   3) FCFF ปีถัดไป=TV×(WACC−g) จากสูตร Gordon   4) ถอดเป็นรายได้: R*=FCFF÷[margin×(1−tax)×(1−reinvestment)]  โดย reinvestment=g÷ROIC   5) Implied CAGR=(R*/รายได้วันนี้)^(1/(N+1))−1</t>
        </is>
      </c>
    </row>
    <row r="10" ht="21" customHeight="1">
      <c r="B10" s="7" t="n"/>
    </row>
    <row r="11" ht="21" customHeight="1">
      <c r="B11" s="8" t="inlineStr">
        <is>
          <t>Plausible CAGR คิดแบบ Heuristic อัตโนมัติ = ค่าที่ต่ำที่สุดของ 3 เพดาน</t>
        </is>
      </c>
    </row>
    <row r="12" ht="44.25" customHeight="1">
      <c r="B12" s="7" t="inlineStr">
        <is>
          <t>Cap A (Historical): Hist CAGR 3 ปี × Fade factor (โตจริงมัน decay ตามสเกล)   |   Cap B (TAM): CAGR ที่ทำให้รายได้ปลายทาง = MaxPenetration% × TAM   |   Cap C (Absolute): เพดานแข็ง (default 45% เพราะการคงโต &gt;50% สิบปีแทบไม่มีในประวัติศาสตร์)   →   Plausible = MIN(A,B,C) = ข้อจำกัดที่ผูกมัดที่สุดชนะ</t>
        </is>
      </c>
    </row>
    <row r="13" ht="21" customHeight="1">
      <c r="B13" s="7" t="n"/>
    </row>
    <row r="14" ht="21" customHeight="1">
      <c r="B14" s="8" t="inlineStr">
        <is>
          <t>คำตัดสิน (Verdict)</t>
        </is>
      </c>
    </row>
    <row r="15" ht="41.25" customHeight="1">
      <c r="B15" s="7" t="inlineStr">
        <is>
          <t>Gap = Implied − Plausible   ถ้า Gap &gt; Buffer → แพง (Priced for Perfection)  |  อยู่ในกรอบ ±Buffer → Fair  |  Gap &lt; −Buffer → ถูก (Low Expectations)</t>
        </is>
      </c>
    </row>
    <row r="16" ht="21" customHeight="1">
      <c r="B16" s="7" t="n"/>
    </row>
    <row r="17" ht="21" customHeight="1">
      <c r="B17" s="8" t="inlineStr">
        <is>
          <t>วิธีใช้ทีละสเตป</t>
        </is>
      </c>
    </row>
    <row r="18" ht="50.25" customHeight="1">
      <c r="B18" s="7" t="inlineStr">
        <is>
          <t>• Engine = เครื่องคิดเลขหุ้นเดี่ยว โชว์ทุกสเตป (ใช้สอน/ทำคอนเทนต์ได้) — มีเคส SpaceX กรอกตัวอย่างไว้แล้ว   • Screener = ตารางเทียบหลายตัว ระบายสีแพง/ถูกอัตโนมัติ   • Sensitivity = ตาราง Implied CAGR ตาม WACC × margin ของหุ้นใน Engine   • WACC_Damodaran = ตาราง lookup ต้นทุนเงินรายอุตสาหกรรม   • AI_Prompts = prompt ดึงงบมากรอก</t>
        </is>
      </c>
    </row>
    <row r="19" ht="21" customHeight="1">
      <c r="B19" s="7" t="n"/>
    </row>
    <row r="20" ht="31.5" customHeight="1">
      <c r="B20" s="8" t="inlineStr">
        <is>
          <t>ช่องสีเหลือง = ป้อนเอง  |  ตัวอักษรน้ำเงิน = input  |  ดำ = สูตร  |  เขียว = ลิงก์ข้ามชีต</t>
        </is>
      </c>
    </row>
    <row r="21" ht="21" customHeight="1">
      <c r="B21" s="7" t="n"/>
    </row>
    <row r="22" ht="21" customHeight="1">
      <c r="B22" s="8" t="inlineStr">
        <is>
          <t>ข้อควรระวัง (เขียนกำกับให้คนอ่านเข้าใจขีดจำกัด)</t>
        </is>
      </c>
    </row>
    <row r="23" ht="58.5" customHeight="1">
      <c r="B23" s="7" t="inlineStr">
        <is>
          <t>1) Terminal-Anchored แม่นกับหุ้นที่มูลค่าเกือบทั้งก้อนอยู่ปลายทาง (growth/pre-profit) — กับหุ้น mature ที่ cash flow ช่วงต้นเยอะ จะ "overstate" CAGR ที่ต้องการ ใช้เป็น stress test ได้ แต่อย่าตีความตรงตัว   2) Convention ของไฟล์นี้: N=ปี explicit, รายได้ปลายทางคือปีที่ N+1, วัด CAGR ตลอด N+1 ปี (เช่น N=10 → 11 ปี)   3) WACC ในชีต Damodaran เป็นค่า "ตัวอย่าง" ต้องโหลดของจริงจาก Damodaran (อัปเดต ม.ค. ทุกปี — ชุดล่าสุด ม.ค. 2026) มาวางทับ   4) TAM เป็นตัวเลขที่ squishy ที่สุด ระวังบริษัทเคลม TAM เว่อร์</t>
        </is>
      </c>
    </row>
    <row r="24" ht="25.5" customHeight="1">
      <c r="B24" s="7" t="n"/>
    </row>
    <row r="25" ht="21" customHeight="1">
      <c r="B25" s="8" t="inlineStr">
        <is>
          <t>Disclaimer: เครื่องมือนี้เพื่อการศึกษา ไม่ใช่คำแนะนำการลงทุน ตัวเลขทุกตัวต้อง verify ก่อนใช้จริง</t>
        </is>
      </c>
    </row>
    <row r="27" ht="15.75" customHeight="1">
      <c r="B27" s="103" t="inlineStr">
        <is>
          <t>🔄 วิธีใช้ร่วมกับ AI (สำหรับหุ้นตัวใหม่ — ตรวจสอบได้ว่า AI เข้าใจตรงกับเรา)</t>
        </is>
      </c>
    </row>
    <row r="28">
      <c r="B28" s="38" t="inlineStr">
        <is>
          <t>Step 1 — แคพหน้าสรุปราคาหุ้นจาก stockanalysis.com หรือ Yahoo Finance (หน้า Overview ที่มี: ราคา, Market Cap, Revenue TTM, Shares Out, Net Income, Analyst Target) → แนบไฟล์รูปไปให้ AI พร้อม prompt เพื่อยืนยันว่า AI "เห็นหุ้นตัวเดียวกับเรา" — กัน hallucinate หรือดึงข้อมูลผิด ticker</t>
        </is>
      </c>
    </row>
    <row r="29">
      <c r="B29" s="38" t="inlineStr">
        <is>
          <t>Step 2 — ไปที่ชีต AI_Prompts คัดลอก prompt ที่ [B4](AI_Prompts!B4) → แทน [TICKER] ด้วยชื่อหุ้นจริง (เช่น AAPL, NVDA) → วางให้ AI พร้อมรูป screenshot จาก Step 1</t>
        </is>
      </c>
    </row>
    <row r="30">
      <c r="B30" s="38" t="inlineStr">
        <is>
          <t>Step 3 — AI จะ (a) ตรวจข้อมูลจาก 10-K/10-Q + earnings ล่าสุด (b) กรอกลง [Engine](Engine) ช่องเหลือง + source note (c) append แถวใหม่ลง [Screener](Screener) (d) สรุป verdict + ราคาน่าสะสมใน chat</t>
        </is>
      </c>
    </row>
    <row r="31">
      <c r="B31" s="38" t="inlineStr">
        <is>
          <t>Step 4 — ตรวจตัวเลขที่ AI ลง — ถ้า assumption ไหนไม่ตรงกับมุมมองเรา (เช่น terminal margin, hist CAGR) บอกให้ AI แก้ — เครื่องมือคำนวณใหม่ทันที</t>
        </is>
      </c>
    </row>
    <row r="32">
      <c r="B32" s="38" t="inlineStr">
        <is>
          <t>Step 5 — ถ้าไม่สนใจตัวไหน — ลบแถวใน Screener ได้ตลอด (AI ไม่ลบของเก่าให้) Engine มีตัวเดียว — วิเคราะห์หุ้นตัวต่อไปได้เลย</t>
        </is>
      </c>
    </row>
    <row r="34">
      <c r="B34" s="104" t="inlineStr">
        <is>
          <t>💡 Tips สำหรับผลลัพธ์ที่แม่นยำ</t>
        </is>
      </c>
    </row>
    <row r="35">
      <c r="B35" s="38" t="inlineStr">
        <is>
          <t>• หุ้น cyclical (semicon, oil, shipping) → อย่าใช้ hist CAGR จาก trough→now (เพราะจะบิดเบี้ยว momentum) — ใช้ blend full cycle หรือ 5ปี แทน</t>
        </is>
      </c>
    </row>
    <row r="36">
      <c r="B36" s="38" t="inlineStr">
        <is>
          <t>• หุ้น pre-profit ที่ inflection (เช่น PL, RKLB) → ใช้ forward guidance FY+1 แทน hist CAGR เพราะอดีตไม่ represent อนาคต</t>
        </is>
      </c>
    </row>
    <row r="37">
      <c r="B37" s="38" t="inlineStr">
        <is>
          <t>• ถ้า verdict → ถูกมาก อย่าเพิ่ง buy — เช็คก่อนว่า "ถูกเพราะกิจการย่ำแย่มากจริง" หรือ "ถูกเพราะ market ยังไม่รู้ thesis"</t>
        </is>
      </c>
    </row>
    <row r="38">
      <c r="B38" s="38" t="inlineStr">
        <is>
          <t>• ถ้า verdict → แพง ไม่ได้แปลว่าขาย — แปลว่า "ราคาตอนนี้ต้องการ perfection — พลาดนิดเดียวก็ร่วงหนัก"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zoomScaleNormal="100" workbookViewId="0">
      <selection activeCell="A1" sqref="A1:C1"/>
    </sheetView>
  </sheetViews>
  <sheetFormatPr baseColWidth="8" defaultColWidth="8.7109375" defaultRowHeight="15"/>
  <cols>
    <col width="34" customWidth="1" min="1" max="1"/>
    <col width="18" customWidth="1" min="2" max="2"/>
    <col width="60" customWidth="1" min="3" max="3"/>
  </cols>
  <sheetData>
    <row r="1" ht="16.5" customHeight="1">
      <c r="A1" s="9" t="inlineStr">
        <is>
          <t>WACC / Cost of Capital รายอุตสาหกรรม</t>
        </is>
      </c>
    </row>
    <row r="2">
      <c r="A2" s="3" t="inlineStr">
        <is>
          <t>⚠ ค่าตัวอย่าง (ILLUSTRATIVE) — แทนที่ด้วยข้อมูลจริงจาก Damodaran 'Cost of Capital by Industry Sector (US)' อัปเดต ม.ค. ทุกปี</t>
        </is>
      </c>
    </row>
    <row r="3">
      <c r="A3" s="10" t="inlineStr">
        <is>
          <t>Industry / Sector</t>
        </is>
      </c>
      <c r="B3" s="10" t="inlineStr">
        <is>
          <t>Cost of Capital</t>
        </is>
      </c>
      <c r="C3" s="10" t="inlineStr">
        <is>
          <t>หมายเหตุ</t>
        </is>
      </c>
    </row>
    <row r="4">
      <c r="A4" s="11" t="inlineStr">
        <is>
          <t>Software (System/Application)</t>
        </is>
      </c>
      <c r="B4" s="12" t="n">
        <v>0.095</v>
      </c>
      <c r="C4" s="13" t="inlineStr">
        <is>
          <t>ตัวเลขในคอลัมน์นี้ทั้งหมดเป็น placeholder — โหลดของจริงจาก pages.stern.nyu.edu/~adamodar มาทับ</t>
        </is>
      </c>
    </row>
    <row r="5">
      <c r="A5" s="11" t="inlineStr">
        <is>
          <t>Semiconductor</t>
        </is>
      </c>
      <c r="B5" s="12" t="n">
        <v>0.11</v>
      </c>
    </row>
    <row r="6">
      <c r="A6" s="11" t="inlineStr">
        <is>
          <t>Computers/Peripherals</t>
        </is>
      </c>
      <c r="B6" s="12" t="n">
        <v>0.09</v>
      </c>
    </row>
    <row r="7">
      <c r="A7" s="11" t="inlineStr">
        <is>
          <t>Internet/E-commerce Retail</t>
        </is>
      </c>
      <c r="B7" s="12" t="n">
        <v>0.095</v>
      </c>
    </row>
    <row r="8">
      <c r="A8" s="11" t="inlineStr">
        <is>
          <t>Telecom Services</t>
        </is>
      </c>
      <c r="B8" s="12" t="n">
        <v>0.07000000000000001</v>
      </c>
    </row>
    <row r="9">
      <c r="A9" s="11" t="inlineStr">
        <is>
          <t>Aerospace/Defense</t>
        </is>
      </c>
      <c r="B9" s="12" t="n">
        <v>0.08500000000000001</v>
      </c>
    </row>
    <row r="10">
      <c r="A10" s="11" t="inlineStr">
        <is>
          <t>Auto &amp; Truck</t>
        </is>
      </c>
      <c r="B10" s="12" t="n">
        <v>0.08500000000000001</v>
      </c>
    </row>
    <row r="11">
      <c r="A11" s="11" t="inlineStr">
        <is>
          <t>Banks (Money Center)</t>
        </is>
      </c>
      <c r="B11" s="12" t="n">
        <v>0.09</v>
      </c>
    </row>
    <row r="12">
      <c r="A12" s="11" t="inlineStr">
        <is>
          <t>Pharma (Drugs)</t>
        </is>
      </c>
      <c r="B12" s="12" t="n">
        <v>0.075</v>
      </c>
    </row>
    <row r="13">
      <c r="A13" s="11" t="inlineStr">
        <is>
          <t>Biotechnology</t>
        </is>
      </c>
      <c r="B13" s="12" t="n">
        <v>0.095</v>
      </c>
    </row>
    <row r="14">
      <c r="A14" s="11" t="inlineStr">
        <is>
          <t>Healthcare Products</t>
        </is>
      </c>
      <c r="B14" s="12" t="n">
        <v>0.075</v>
      </c>
    </row>
    <row r="15">
      <c r="A15" s="11" t="inlineStr">
        <is>
          <t>Retail (General)</t>
        </is>
      </c>
      <c r="B15" s="12" t="n">
        <v>0.075</v>
      </c>
    </row>
    <row r="16">
      <c r="A16" s="11" t="inlineStr">
        <is>
          <t>Food Processing</t>
        </is>
      </c>
      <c r="B16" s="12" t="n">
        <v>0.06</v>
      </c>
    </row>
    <row r="17">
      <c r="A17" s="11" t="inlineStr">
        <is>
          <t>Beverage (Soft)</t>
        </is>
      </c>
      <c r="B17" s="12" t="n">
        <v>0.06</v>
      </c>
    </row>
    <row r="18">
      <c r="A18" s="11" t="inlineStr">
        <is>
          <t>Utilities (General)</t>
        </is>
      </c>
      <c r="B18" s="12" t="n">
        <v>0.055</v>
      </c>
    </row>
    <row r="19">
      <c r="A19" s="11" t="inlineStr">
        <is>
          <t>Oil/Gas (Integrated)</t>
        </is>
      </c>
      <c r="B19" s="12" t="n">
        <v>0.08</v>
      </c>
    </row>
    <row r="20">
      <c r="A20" s="11" t="inlineStr">
        <is>
          <t>Chemicals (Specialty)</t>
        </is>
      </c>
      <c r="B20" s="12" t="n">
        <v>0.08</v>
      </c>
    </row>
    <row r="21">
      <c r="A21" s="11" t="inlineStr">
        <is>
          <t>Electronics (General)</t>
        </is>
      </c>
      <c r="B21" s="12" t="n">
        <v>0.09</v>
      </c>
    </row>
    <row r="22">
      <c r="A22" s="11" t="inlineStr">
        <is>
          <t>Entertainment</t>
        </is>
      </c>
      <c r="B22" s="12" t="n">
        <v>0.09</v>
      </c>
    </row>
    <row r="23">
      <c r="A23" s="11" t="inlineStr">
        <is>
          <t>Advertising</t>
        </is>
      </c>
      <c r="B23" s="12" t="n">
        <v>0.09</v>
      </c>
    </row>
    <row r="24">
      <c r="A24" s="11" t="inlineStr">
        <is>
          <t>REIT</t>
        </is>
      </c>
      <c r="B24" s="12" t="n">
        <v>0.07000000000000001</v>
      </c>
    </row>
    <row r="25">
      <c r="A25" s="11" t="inlineStr">
        <is>
          <t>Insurance (General)</t>
        </is>
      </c>
      <c r="B25" s="12" t="n">
        <v>0.08</v>
      </c>
    </row>
    <row r="26">
      <c r="A26" s="11" t="inlineStr">
        <is>
          <t>Machinery</t>
        </is>
      </c>
      <c r="B26" s="12" t="n">
        <v>0.08500000000000001</v>
      </c>
    </row>
    <row r="27">
      <c r="A27" s="11" t="inlineStr">
        <is>
          <t>Air Transport</t>
        </is>
      </c>
      <c r="B27" s="12" t="n">
        <v>0.08500000000000001</v>
      </c>
    </row>
    <row r="28">
      <c r="A28" s="11" t="inlineStr">
        <is>
          <t>Total Market (Avg)</t>
        </is>
      </c>
      <c r="B28" s="12" t="n">
        <v>0.083</v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0"/>
  <sheetViews>
    <sheetView showGridLines="0" tabSelected="1" topLeftCell="B1" zoomScale="85" zoomScaleNormal="85" workbookViewId="0">
      <selection activeCell="M21" sqref="M21"/>
    </sheetView>
  </sheetViews>
  <sheetFormatPr baseColWidth="8" defaultColWidth="8.7109375" defaultRowHeight="15"/>
  <cols>
    <col width="2" customWidth="1" min="1" max="1"/>
    <col width="48" customWidth="1" style="76" min="2" max="2"/>
    <col width="18" customWidth="1" style="76" min="3" max="3"/>
    <col width="44" customWidth="1" style="76" min="4" max="4"/>
    <col width="2.85546875" customWidth="1" min="5" max="5"/>
    <col width="19.140625" customWidth="1" min="6" max="6"/>
    <col width="13.28515625" customWidth="1" min="7" max="11"/>
  </cols>
  <sheetData>
    <row r="1" ht="24" customHeight="1">
      <c r="B1" s="102" t="inlineStr">
        <is>
          <t>ENGINE — Reverse DCF หุ้นเดี่ยว (Terminal-Anchored)</t>
        </is>
      </c>
      <c r="F1" s="32" t="inlineStr">
        <is>
          <t>SENSITIVITY — Implied CAGR ตาม WACC × Terminal Margin</t>
        </is>
      </c>
      <c r="G1" s="33" t="n"/>
      <c r="H1" s="33" t="n"/>
      <c r="I1" s="33" t="n"/>
      <c r="J1" s="33" t="n"/>
      <c r="K1" s="33" t="n"/>
    </row>
    <row r="3">
      <c r="B3" s="78" t="inlineStr">
        <is>
          <t>1) INPUT — ข้อมูลบริษัท (กรอกช่องเหลือง)</t>
        </is>
      </c>
      <c r="F3" s="34" t="inlineStr">
        <is>
          <t>แถว = WACC | คอลัมน์ = Terminal EBIT margin | ค่าอื่นดึงจากฝั่งซ้าย (g, ROIC, tax, N, EV, R0)</t>
        </is>
      </c>
    </row>
    <row r="4">
      <c r="B4" s="7" t="inlineStr">
        <is>
          <t>Ticker / ชื่อหุ้น</t>
        </is>
      </c>
      <c r="C4" s="71" t="n"/>
      <c r="D4" s="14" t="n"/>
    </row>
    <row r="5">
      <c r="B5" s="7" t="inlineStr">
        <is>
          <t>Current Revenue — R0 ($B)</t>
        </is>
      </c>
      <c r="C5" s="72" t="n"/>
      <c r="D5" s="14" t="inlineStr">
        <is>
          <t xml:space="preserve">รายได้ FY ล่าสุด </t>
        </is>
      </c>
      <c r="F5" s="35" t="inlineStr">
        <is>
          <t>WACC \ margin</t>
        </is>
      </c>
      <c r="G5" s="36" t="n">
        <v>0.2</v>
      </c>
      <c r="H5" s="36" t="n">
        <v>0.25</v>
      </c>
      <c r="I5" s="36" t="n">
        <v>0.3</v>
      </c>
      <c r="J5" s="36" t="n">
        <v>0.35</v>
      </c>
      <c r="K5" s="36" t="n">
        <v>0.4</v>
      </c>
    </row>
    <row r="6">
      <c r="B6" s="7" t="inlineStr">
        <is>
          <t>Enterprise Value anchor — EV ($B)</t>
        </is>
      </c>
      <c r="C6" s="72" t="n"/>
      <c r="D6" s="14" t="inlineStr">
        <is>
          <t>≈ mktcap + net debt - Cash</t>
        </is>
      </c>
      <c r="F6" s="36" t="n">
        <v>0.08</v>
      </c>
      <c r="G6" s="37">
        <f>(((($C$6*(1+$F6)^$C$15*($F6-$C$12))/(G$5*(1-$C$14)*(1-$C$12/$C$13)))/$C$5)^(1/($C$15+1))-1)</f>
        <v/>
      </c>
      <c r="H6" s="37">
        <f>(((($C$6*(1+$F6)^$C$15*($F6-$C$12))/(H$5*(1-$C$14)*(1-$C$12/$C$13)))/$C$5)^(1/($C$15+1))-1)</f>
        <v/>
      </c>
      <c r="I6" s="37">
        <f>(((($C$6*(1+$F6)^$C$15*($F6-$C$12))/(I$5*(1-$C$14)*(1-$C$12/$C$13)))/$C$5)^(1/($C$15+1))-1)</f>
        <v/>
      </c>
      <c r="J6" s="37">
        <f>(((($C$6*(1+$F6)^$C$15*($F6-$C$12))/(J$5*(1-$C$14)*(1-$C$12/$C$13)))/$C$5)^(1/($C$15+1))-1)</f>
        <v/>
      </c>
      <c r="K6" s="37">
        <f>(((($C$6*(1+$F6)^$C$15*($F6-$C$12))/(K$5*(1-$C$14)*(1-$C$12/$C$13)))/$C$5)^(1/($C$15+1))-1)</f>
        <v/>
      </c>
    </row>
    <row r="7">
      <c r="B7" s="7" t="inlineStr">
        <is>
          <t>Sector (เลือก dropdown)</t>
        </is>
      </c>
      <c r="C7" s="71" t="n"/>
      <c r="D7" s="14" t="inlineStr">
        <is>
          <t>ใช้ดึง WACC จากตาราง Damodaran</t>
        </is>
      </c>
      <c r="F7" s="36" t="n">
        <v>0.09</v>
      </c>
      <c r="G7" s="37">
        <f>(((($C$6*(1+$F7)^$C$15*($F7-$C$12))/(G$5*(1-$C$14)*(1-$C$12/$C$13)))/$C$5)^(1/($C$15+1))-1)</f>
        <v/>
      </c>
      <c r="H7" s="37">
        <f>(((($C$6*(1+$F7)^$C$15*($F7-$C$12))/(H$5*(1-$C$14)*(1-$C$12/$C$13)))/$C$5)^(1/($C$15+1))-1)</f>
        <v/>
      </c>
      <c r="I7" s="37">
        <f>(((($C$6*(1+$F7)^$C$15*($F7-$C$12))/(I$5*(1-$C$14)*(1-$C$12/$C$13)))/$C$5)^(1/($C$15+1))-1)</f>
        <v/>
      </c>
      <c r="J7" s="37">
        <f>(((($C$6*(1+$F7)^$C$15*($F7-$C$12))/(J$5*(1-$C$14)*(1-$C$12/$C$13)))/$C$5)^(1/($C$15+1))-1)</f>
        <v/>
      </c>
      <c r="K7" s="37">
        <f>(((($C$6*(1+$F7)^$C$15*($F7-$C$12))/(K$5*(1-$C$14)*(1-$C$12/$C$13)))/$C$5)^(1/($C$15+1))-1)</f>
        <v/>
      </c>
    </row>
    <row r="8">
      <c r="B8" s="7" t="inlineStr">
        <is>
          <t>WACC (auto จาก sector)</t>
        </is>
      </c>
      <c r="C8" s="73">
        <f>IFERROR(VLOOKUP(C7,WACC_Damodaran!$A$4:$B$28,2,FALSE()),"")</f>
        <v/>
      </c>
      <c r="D8" s="14" t="inlineStr">
        <is>
          <t>ลิงก์จากชีต WACC_Damodaran</t>
        </is>
      </c>
      <c r="F8" s="36" t="n">
        <v>0.1</v>
      </c>
      <c r="G8" s="37">
        <f>(((($C$6*(1+$F8)^$C$15*($F8-$C$12))/(G$5*(1-$C$14)*(1-$C$12/$C$13)))/$C$5)^(1/($C$15+1))-1)</f>
        <v/>
      </c>
      <c r="H8" s="37">
        <f>(((($C$6*(1+$F8)^$C$15*($F8-$C$12))/(H$5*(1-$C$14)*(1-$C$12/$C$13)))/$C$5)^(1/($C$15+1))-1)</f>
        <v/>
      </c>
      <c r="I8" s="37">
        <f>(((($C$6*(1+$F8)^$C$15*($F8-$C$12))/(I$5*(1-$C$14)*(1-$C$12/$C$13)))/$C$5)^(1/($C$15+1))-1)</f>
        <v/>
      </c>
      <c r="J8" s="37">
        <f>(((($C$6*(1+$F8)^$C$15*($F8-$C$12))/(J$5*(1-$C$14)*(1-$C$12/$C$13)))/$C$5)^(1/($C$15+1))-1)</f>
        <v/>
      </c>
      <c r="K8" s="37">
        <f>(((($C$6*(1+$F8)^$C$15*($F8-$C$12))/(K$5*(1-$C$14)*(1-$C$12/$C$13)))/$C$5)^(1/($C$15+1))-1)</f>
        <v/>
      </c>
    </row>
    <row r="9">
      <c r="B9" s="7" t="inlineStr">
        <is>
          <t>WACC override (เว้นว่าง=ใช้ auto)</t>
        </is>
      </c>
      <c r="C9" s="74" t="n"/>
      <c r="D9" s="14" t="inlineStr">
        <is>
          <t>เคสนี้ override เป็น 10%</t>
        </is>
      </c>
      <c r="F9" s="36" t="n">
        <v>0.11</v>
      </c>
      <c r="G9" s="37">
        <f>(((($C$6*(1+$F9)^$C$15*($F9-$C$12))/(G$5*(1-$C$14)*(1-$C$12/$C$13)))/$C$5)^(1/($C$15+1))-1)</f>
        <v/>
      </c>
      <c r="H9" s="37">
        <f>(((($C$6*(1+$F9)^$C$15*($F9-$C$12))/(H$5*(1-$C$14)*(1-$C$12/$C$13)))/$C$5)^(1/($C$15+1))-1)</f>
        <v/>
      </c>
      <c r="I9" s="37">
        <f>(((($C$6*(1+$F9)^$C$15*($F9-$C$12))/(I$5*(1-$C$14)*(1-$C$12/$C$13)))/$C$5)^(1/($C$15+1))-1)</f>
        <v/>
      </c>
      <c r="J9" s="37">
        <f>(((($C$6*(1+$F9)^$C$15*($F9-$C$12))/(J$5*(1-$C$14)*(1-$C$12/$C$13)))/$C$5)^(1/($C$15+1))-1)</f>
        <v/>
      </c>
      <c r="K9" s="37">
        <f>(((($C$6*(1+$F9)^$C$15*($F9-$C$12))/(K$5*(1-$C$14)*(1-$C$12/$C$13)))/$C$5)^(1/($C$15+1))-1)</f>
        <v/>
      </c>
    </row>
    <row r="10">
      <c r="B10" s="7" t="inlineStr">
        <is>
          <t>WACC ที่ใช้</t>
        </is>
      </c>
      <c r="C10" s="75">
        <f>IF(C9="",C8,C9)</f>
        <v/>
      </c>
      <c r="F10" s="36" t="n">
        <v>0.12</v>
      </c>
      <c r="G10" s="37">
        <f>(((($C$6*(1+$F10)^$C$15*($F10-$C$12))/(G$5*(1-$C$14)*(1-$C$12/$C$13)))/$C$5)^(1/($C$15+1))-1)</f>
        <v/>
      </c>
      <c r="H10" s="37">
        <f>(((($C$6*(1+$F10)^$C$15*($F10-$C$12))/(H$5*(1-$C$14)*(1-$C$12/$C$13)))/$C$5)^(1/($C$15+1))-1)</f>
        <v/>
      </c>
      <c r="I10" s="37">
        <f>(((($C$6*(1+$F10)^$C$15*($F10-$C$12))/(I$5*(1-$C$14)*(1-$C$12/$C$13)))/$C$5)^(1/($C$15+1))-1)</f>
        <v/>
      </c>
      <c r="J10" s="37">
        <f>(((($C$6*(1+$F10)^$C$15*($F10-$C$12))/(J$5*(1-$C$14)*(1-$C$12/$C$13)))/$C$5)^(1/($C$15+1))-1)</f>
        <v/>
      </c>
      <c r="K10" s="37">
        <f>(((($C$6*(1+$F10)^$C$15*($F10-$C$12))/(K$5*(1-$C$14)*(1-$C$12/$C$13)))/$C$5)^(1/($C$15+1))-1)</f>
        <v/>
      </c>
    </row>
    <row r="11">
      <c r="B11" s="7" t="inlineStr">
        <is>
          <t>Terminal EBIT margin</t>
        </is>
      </c>
      <c r="C11" s="74" t="n"/>
      <c r="D11" s="14" t="inlineStr">
        <is>
          <t>margin ตอนโตเต็มวัย</t>
        </is>
      </c>
    </row>
    <row r="12" ht="15.75" customHeight="1">
      <c r="B12" s="7" t="inlineStr">
        <is>
          <t>Terminal growth g</t>
        </is>
      </c>
      <c r="C12" s="74" t="n"/>
      <c r="D12" s="14" t="inlineStr">
        <is>
          <t>โตนิ่งระยะยาว (≈ GDP+)</t>
        </is>
      </c>
      <c r="F12" s="32" t="inlineStr">
        <is>
          <t>WACC × PRICE — ราคาโซนไหนน่าสนใจ</t>
        </is>
      </c>
      <c r="G12" s="32" t="n"/>
      <c r="H12" s="32" t="n"/>
      <c r="I12" s="32" t="n"/>
      <c r="J12" s="32" t="n"/>
      <c r="K12" s="32" t="n"/>
    </row>
    <row r="13">
      <c r="B13" s="7" t="inlineStr">
        <is>
          <t>Terminal ROIC</t>
        </is>
      </c>
      <c r="C13" s="74" t="n"/>
      <c r="D13" s="14" t="inlineStr">
        <is>
          <t>ผลตอบแทนต่อทุนตอน mature</t>
        </is>
      </c>
    </row>
    <row r="14">
      <c r="B14" s="7" t="inlineStr">
        <is>
          <t>Tax rate</t>
        </is>
      </c>
      <c r="C14" s="74" t="n"/>
      <c r="F14" s="34" t="inlineStr">
        <is>
          <t>ค่า = Implied CAGR ที่ราคานั้นบังคับ. เขียว ≤ Plausible (ถูก), เหลือง = Caution, แดง ≥ Plausible+10pp (แพง)</t>
        </is>
      </c>
    </row>
    <row r="15">
      <c r="B15" s="7" t="inlineStr">
        <is>
          <t>Horizon N (ปี explicit)</t>
        </is>
      </c>
      <c r="C15" s="77" t="n"/>
      <c r="D15" s="14" t="inlineStr">
        <is>
          <t>รายได้ปลายทาง = ปีที่ N+1</t>
        </is>
      </c>
    </row>
    <row r="16">
      <c r="F16" s="40" t="inlineStr">
        <is>
          <t>WACC \ Price</t>
        </is>
      </c>
      <c r="G16" s="105">
        <f>$C$43*0.6</f>
        <v/>
      </c>
      <c r="H16" s="105">
        <f>$C$43*0.8</f>
        <v/>
      </c>
      <c r="I16" s="105">
        <f>$C$43</f>
        <v/>
      </c>
      <c r="J16" s="105">
        <f>$C$43*1.2</f>
        <v/>
      </c>
      <c r="K16" s="105">
        <f>$C$43*1.4</f>
        <v/>
      </c>
    </row>
    <row r="17">
      <c r="B17" s="78" t="inlineStr">
        <is>
          <t>2) HEURISTIC INPUT — เพดานโตที่เป็นจริง</t>
        </is>
      </c>
      <c r="F17" s="41" t="n">
        <v>0.08</v>
      </c>
      <c r="G17" s="106">
        <f>(((((G$16*$C$44/1000+$C$45)*(1+$F17)^$C$15)*($F17-$C$12))/($C$11*(1-$C$14)*(1-$C$12/$C$13)))/$C$5)^(1/($C$15+1))-1</f>
        <v/>
      </c>
      <c r="H17" s="106">
        <f>(((((H$16*$C$44/1000+$C$45)*(1+$F17)^$C$15)*($F17-$C$12))/($C$11*(1-$C$14)*(1-$C$12/$C$13)))/$C$5)^(1/($C$15+1))-1</f>
        <v/>
      </c>
      <c r="I17" s="106">
        <f>(((((I$16*$C$44/1000+$C$45)*(1+$F17)^$C$15)*($F17-$C$12))/($C$11*(1-$C$14)*(1-$C$12/$C$13)))/$C$5)^(1/($C$15+1))-1</f>
        <v/>
      </c>
      <c r="J17" s="106">
        <f>(((((J$16*$C$44/1000+$C$45)*(1+$F17)^$C$15)*($F17-$C$12))/($C$11*(1-$C$14)*(1-$C$12/$C$13)))/$C$5)^(1/($C$15+1))-1</f>
        <v/>
      </c>
      <c r="K17" s="106">
        <f>(((((K$16*$C$44/1000+$C$45)*(1+$F17)^$C$15)*($F17-$C$12))/($C$11*(1-$C$14)*(1-$C$12/$C$13)))/$C$5)^(1/($C$15+1))-1</f>
        <v/>
      </c>
    </row>
    <row r="18" ht="15.75" customHeight="1" thickBot="1">
      <c r="B18" s="7" t="inlineStr">
        <is>
          <t>Historical Revenue CAGR (3yr)</t>
        </is>
      </c>
      <c r="C18" s="74" t="n"/>
      <c r="D18" s="14" t="inlineStr">
        <is>
          <t>track record การโต</t>
        </is>
      </c>
      <c r="F18" s="41" t="n">
        <v>0.09</v>
      </c>
      <c r="G18" s="106">
        <f>(((((G$16*$C$44/1000+$C$45)*(1+$F18)^$C$15)*($F18-$C$12))/($C$11*(1-$C$14)*(1-$C$12/$C$13)))/$C$5)^(1/($C$15+1))-1</f>
        <v/>
      </c>
      <c r="H18" s="106">
        <f>(((((H$16*$C$44/1000+$C$45)*(1+$F18)^$C$15)*($F18-$C$12))/($C$11*(1-$C$14)*(1-$C$12/$C$13)))/$C$5)^(1/($C$15+1))-1</f>
        <v/>
      </c>
      <c r="I18" s="107">
        <f>(((((I$16*$C$44/1000+$C$45)*(1+$F18)^$C$15)*($F18-$C$12))/($C$11*(1-$C$14)*(1-$C$12/$C$13)))/$C$5)^(1/($C$15+1))-1</f>
        <v/>
      </c>
      <c r="J18" s="106">
        <f>(((((J$16*$C$44/1000+$C$45)*(1+$F18)^$C$15)*($F18-$C$12))/($C$11*(1-$C$14)*(1-$C$12/$C$13)))/$C$5)^(1/($C$15+1))-1</f>
        <v/>
      </c>
      <c r="K18" s="106">
        <f>(((((K$16*$C$44/1000+$C$45)*(1+$F18)^$C$15)*($F18-$C$12))/($C$11*(1-$C$14)*(1-$C$12/$C$13)))/$C$5)^(1/($C$15+1))-1</f>
        <v/>
      </c>
    </row>
    <row r="19" ht="16.5" customHeight="1" thickBot="1" thickTop="1">
      <c r="B19" s="7" t="inlineStr">
        <is>
          <t>Fade factor (growth decay)</t>
        </is>
      </c>
      <c r="C19" s="79" t="n"/>
      <c r="D19" s="14" t="inlineStr">
        <is>
          <t>หักลบเพราะโตจริงมันชะลอตามสเกล</t>
        </is>
      </c>
      <c r="F19" s="41" t="n">
        <v>0.1</v>
      </c>
      <c r="G19" s="106">
        <f>(((((G$16*$C$44/1000+$C$45)*(1+$F19)^$C$15)*($F19-$C$12))/($C$11*(1-$C$14)*(1-$C$12/$C$13)))/$C$5)^(1/($C$15+1))-1</f>
        <v/>
      </c>
      <c r="H19" s="108">
        <f>(((((H$16*$C$44/1000+$C$45)*(1+$F19)^$C$15)*($F19-$C$12))/($C$11*(1-$C$14)*(1-$C$12/$C$13)))/$C$5)^(1/($C$15+1))-1</f>
        <v/>
      </c>
      <c r="I19" s="109">
        <f>(((((I$16*$C$44/1000+$C$45)*(1+$F19)^$C$15)*($F19-$C$12))/($C$11*(1-$C$14)*(1-$C$12/$C$13)))/$C$5)^(1/($C$15+1))-1</f>
        <v/>
      </c>
      <c r="J19" s="110">
        <f>(((((J$16*$C$44/1000+$C$45)*(1+$F19)^$C$15)*($F19-$C$12))/($C$11*(1-$C$14)*(1-$C$12/$C$13)))/$C$5)^(1/($C$15+1))-1</f>
        <v/>
      </c>
      <c r="K19" s="106">
        <f>(((((K$16*$C$44/1000+$C$45)*(1+$F19)^$C$15)*($F19-$C$12))/($C$11*(1-$C$14)*(1-$C$12/$C$13)))/$C$5)^(1/($C$15+1))-1</f>
        <v/>
      </c>
    </row>
    <row r="20" ht="15.75" customHeight="1" thickTop="1">
      <c r="B20" s="7" t="inlineStr">
        <is>
          <t>TAM ($B)</t>
        </is>
      </c>
      <c r="C20" s="72" t="n"/>
      <c r="D20" s="14" t="n"/>
      <c r="F20" s="41" t="n">
        <v>0.11</v>
      </c>
      <c r="G20" s="106">
        <f>(((((G$16*$C$44/1000+$C$45)*(1+$F20)^$C$15)*($F20-$C$12))/($C$11*(1-$C$14)*(1-$C$12/$C$13)))/$C$5)^(1/($C$15+1))-1</f>
        <v/>
      </c>
      <c r="H20" s="106">
        <f>(((((H$16*$C$44/1000+$C$45)*(1+$F20)^$C$15)*($F20-$C$12))/($C$11*(1-$C$14)*(1-$C$12/$C$13)))/$C$5)^(1/($C$15+1))-1</f>
        <v/>
      </c>
      <c r="I20" s="111">
        <f>(((((I$16*$C$44/1000+$C$45)*(1+$F20)^$C$15)*($F20-$C$12))/($C$11*(1-$C$14)*(1-$C$12/$C$13)))/$C$5)^(1/($C$15+1))-1</f>
        <v/>
      </c>
      <c r="J20" s="106">
        <f>(((((J$16*$C$44/1000+$C$45)*(1+$F20)^$C$15)*($F20-$C$12))/($C$11*(1-$C$14)*(1-$C$12/$C$13)))/$C$5)^(1/($C$15+1))-1</f>
        <v/>
      </c>
      <c r="K20" s="106">
        <f>(((((K$16*$C$44/1000+$C$45)*(1+$F20)^$C$15)*($F20-$C$12))/($C$11*(1-$C$14)*(1-$C$12/$C$13)))/$C$5)^(1/($C$15+1))-1</f>
        <v/>
      </c>
    </row>
    <row r="21">
      <c r="B21" s="7" t="inlineStr">
        <is>
          <t>Max penetration %</t>
        </is>
      </c>
      <c r="C21" s="74" t="n"/>
      <c r="D21" s="14" t="inlineStr">
        <is>
          <t>ไม่มีใครกิน 100% ของ TAM</t>
        </is>
      </c>
      <c r="F21" s="41" t="n">
        <v>0.12</v>
      </c>
      <c r="G21" s="106">
        <f>(((((G$16*$C$44/1000+$C$45)*(1+$F21)^$C$15)*($F21-$C$12))/($C$11*(1-$C$14)*(1-$C$12/$C$13)))/$C$5)^(1/($C$15+1))-1</f>
        <v/>
      </c>
      <c r="H21" s="106">
        <f>(((((H$16*$C$44/1000+$C$45)*(1+$F21)^$C$15)*($F21-$C$12))/($C$11*(1-$C$14)*(1-$C$12/$C$13)))/$C$5)^(1/($C$15+1))-1</f>
        <v/>
      </c>
      <c r="I21" s="106">
        <f>(((((I$16*$C$44/1000+$C$45)*(1+$F21)^$C$15)*($F21-$C$12))/($C$11*(1-$C$14)*(1-$C$12/$C$13)))/$C$5)^(1/($C$15+1))-1</f>
        <v/>
      </c>
      <c r="J21" s="106">
        <f>(((((J$16*$C$44/1000+$C$45)*(1+$F21)^$C$15)*($F21-$C$12))/($C$11*(1-$C$14)*(1-$C$12/$C$13)))/$C$5)^(1/($C$15+1))-1</f>
        <v/>
      </c>
      <c r="K21" s="106">
        <f>(((((K$16*$C$44/1000+$C$45)*(1+$F21)^$C$15)*($F21-$C$12))/($C$11*(1-$C$14)*(1-$C$12/$C$13)))/$C$5)^(1/($C$15+1))-1</f>
        <v/>
      </c>
    </row>
    <row r="22" ht="15.75" customHeight="1" thickBot="1">
      <c r="B22" s="7" t="inlineStr">
        <is>
          <t>Absolute ceiling CAGR</t>
        </is>
      </c>
      <c r="C22" s="74" t="n"/>
      <c r="D22" s="14" t="inlineStr">
        <is>
          <t>เพดานแข็ง</t>
        </is>
      </c>
    </row>
    <row r="23" ht="17.25" customHeight="1" thickTop="1">
      <c r="B23" s="65" t="inlineStr">
        <is>
          <t>Forward CAGR (FY+1 guidance)</t>
        </is>
      </c>
      <c r="C23" s="112">
        <f>IF(C50&gt;0,C50/C5-1,"")</f>
        <v/>
      </c>
      <c r="D23" s="66" t="inlineStr">
        <is>
          <t>ดึงจาก C50/C5−1 (ถ้า C50 มีข้อมูล)</t>
        </is>
      </c>
      <c r="F23" s="113" t="inlineStr">
        <is>
          <t>📌 VERDICT — หุ้นถูกหรือแพงยังไง?</t>
        </is>
      </c>
      <c r="G23" s="114" t="n"/>
      <c r="H23" s="114" t="n"/>
      <c r="I23" s="114" t="n"/>
      <c r="J23" s="114" t="n"/>
      <c r="K23" s="115" t="n"/>
    </row>
    <row r="24">
      <c r="B24" s="78" t="inlineStr">
        <is>
          <t>3) REVERSE DCF ENGINE — คำนวณอัตโนมัติ</t>
        </is>
      </c>
      <c r="F24" s="47" t="inlineStr">
        <is>
          <t>ราคาปัจจุบัน:</t>
        </is>
      </c>
      <c r="H24" s="49">
        <f>TEXT($C$43,"$0.00")&amp;" | mkt cap "&amp;TEXT($C$46,"$0.0")&amp;"B | EV "&amp;TEXT($C$6,"$0.0")&amp;"B"</f>
        <v/>
      </c>
      <c r="K24" s="116" t="n"/>
    </row>
    <row r="25">
      <c r="B25" s="7" t="inlineStr">
        <is>
          <t>Reinvestment = g ÷ ROIC</t>
        </is>
      </c>
      <c r="C25" s="81">
        <f>C12/C13</f>
        <v/>
      </c>
      <c r="D25" s="14" t="inlineStr">
        <is>
          <t>กำไรที่ต้องโปะกลับเพื่อโต g</t>
        </is>
      </c>
      <c r="F25" s="47" t="inlineStr">
        <is>
          <t>Implied CAGR (ตลาดต้องการ):</t>
        </is>
      </c>
      <c r="H25" s="49">
        <f>TEXT($C$30,"0.0%")&amp;" ต่อปี ตลอด "&amp;$C$15&amp;" ปี"</f>
        <v/>
      </c>
      <c r="K25" s="116" t="n"/>
    </row>
    <row r="26">
      <c r="B26" s="7" t="inlineStr">
        <is>
          <t>Terminal Value ปีN = EV×(1+WACC)^N ($B)</t>
        </is>
      </c>
      <c r="C26" s="82">
        <f>C6*(1+C10)^C15</f>
        <v/>
      </c>
      <c r="F26" s="47" t="inlineStr">
        <is>
          <t>Plausible CAGR:</t>
        </is>
      </c>
      <c r="H26" s="49">
        <f>TEXT($C$36,"0.0%")&amp;" (Hist "&amp;TEXT($C$18,"0.0%")&amp;" × Fade "&amp;TEXT($C$19,"0.00")&amp;")"</f>
        <v/>
      </c>
      <c r="K26" s="116" t="n"/>
    </row>
    <row r="27">
      <c r="B27" s="7" t="inlineStr">
        <is>
          <t>FCFF ปีN+1 = TV×(WACC−g) ($B)</t>
        </is>
      </c>
      <c r="C27" s="82">
        <f>C26*(C10-C12)</f>
        <v/>
      </c>
      <c r="D27" s="14" t="inlineStr">
        <is>
          <t>Gordon: TV=FCFF/(WACC−g)</t>
        </is>
      </c>
      <c r="F27" s="117">
        <f>"⚡ Gap = "&amp;IF($C$39&gt;=0,"+","")&amp;TEXT($C$39*100,"0.0")&amp;"pp"</f>
        <v/>
      </c>
      <c r="K27" s="116" t="n"/>
    </row>
    <row r="28" ht="16.5" customHeight="1">
      <c r="B28" s="7" t="inlineStr">
        <is>
          <t>Conversion = margin×(1−tax)×(1−reinv)</t>
        </is>
      </c>
      <c r="C28" s="83">
        <f>C11*(1-C14)*(1-C25)</f>
        <v/>
      </c>
      <c r="D28" s="14" t="inlineStr">
        <is>
          <t>รายได้ $1 → เงินสดอิสระกี่เซนต์</t>
        </is>
      </c>
      <c r="F28" s="118">
        <f>"คำตัดสิน: "&amp;$C$41</f>
        <v/>
      </c>
      <c r="K28" s="116" t="n"/>
    </row>
    <row r="29">
      <c r="B29" s="7" t="inlineStr">
        <is>
          <t>Implied Terminal Revenue R* ($B)</t>
        </is>
      </c>
      <c r="C29" s="84">
        <f>C27/C28</f>
        <v/>
      </c>
      <c r="F29" s="119" t="inlineStr">
        <is>
          <t>📊 ทำไมถึงแพง?</t>
        </is>
      </c>
      <c r="K29" s="116" t="n"/>
    </row>
    <row r="30" ht="15.75" customHeight="1">
      <c r="B30" s="7" t="inlineStr">
        <is>
          <t>► Market-Implied Revenue CAGR</t>
        </is>
      </c>
      <c r="C30" s="85">
        <f>(C29/C5)^(1/(C15+1))-1</f>
        <v/>
      </c>
      <c r="D30" s="14" t="inlineStr">
        <is>
          <t>ราคาบังคับให้โตปีละเท่านี้</t>
        </is>
      </c>
      <c r="F30" s="120">
        <f>"• EV/Sales = "&amp;TEXT($C$6/$C$5,"0.0")&amp;"x | Hist CAGR 3yr = "&amp;TEXT($C$18,"0%")&amp;" | Forward CAGR (FY+1 guide) = "&amp;IF(ISNUMBER($C$23),TEXT($C$23,"0%"),"N/A")&amp;" → Cap A ใช้ตัวที่สูงกว่า"</f>
        <v/>
      </c>
      <c r="K30" s="116" t="n"/>
    </row>
    <row r="31" ht="15.75" customHeight="1">
      <c r="F31" s="120" t="n"/>
      <c r="K31" s="116" t="n"/>
    </row>
    <row r="32">
      <c r="B32" s="78" t="inlineStr">
        <is>
          <t>4) PLAUSIBLE CAGR (Heuristic)</t>
        </is>
      </c>
      <c r="F32" s="120" t="n"/>
      <c r="K32" s="116" t="n"/>
    </row>
    <row r="33">
      <c r="B33" s="65" t="inlineStr">
        <is>
          <t>Cap A: MAX(Hist, Forward) × Fade</t>
        </is>
      </c>
      <c r="C33" s="121">
        <f>MAX(C18,IF(ISNUMBER(C23),C23,0))*C19</f>
        <v/>
      </c>
      <c r="F33" s="119" t="inlineStr">
        <is>
          <t>💰 ช่วงราคาน่าสะสม (อิง WACC base และ Plausible CAGR)</t>
        </is>
      </c>
      <c r="K33" s="116" t="n"/>
    </row>
    <row r="34" ht="15.75" customHeight="1">
      <c r="B34" s="7" t="inlineStr">
        <is>
          <t>Cap B: TAM-constrained</t>
        </is>
      </c>
      <c r="C34" s="81">
        <f>IF(C20=0,999,(C21*C20/C5)^(1/(C15+1))-1)</f>
        <v/>
      </c>
      <c r="F34" s="54" t="inlineStr">
        <is>
          <t>🟢🟢 สะสมสบายใจ (ราคา ≤)</t>
        </is>
      </c>
      <c r="I34" s="122">
        <f>(($C$5*(1+MAX($C$36-0.05,0))^($C$15+1)*($C$11*(1-$C$14)*(1-$C$12/$C$13))/($C$10-$C$12)/(1+$C$10)^$C$15)-$C$45)*1000/$C$44</f>
        <v/>
      </c>
      <c r="K34" s="116" t="n"/>
    </row>
    <row r="35" ht="15.75" customHeight="1">
      <c r="B35" s="7" t="inlineStr">
        <is>
          <t>Cap C: Absolute ceiling</t>
        </is>
      </c>
      <c r="C35" s="81">
        <f>C22</f>
        <v/>
      </c>
      <c r="F35" s="56" t="inlineStr">
        <is>
          <t>🟢 Fair Value (Implied = Plausible)</t>
        </is>
      </c>
      <c r="I35" s="123">
        <f>(($C$5*(1+$C$36)^($C$15+1)*($C$11*(1-$C$14)*(1-$C$12/$C$13))/($C$10-$C$12)/(1+$C$10)^$C$15)-$C$45)*1000/$C$44</f>
        <v/>
      </c>
      <c r="K35" s="116" t="n"/>
    </row>
    <row r="36" ht="15.75" customHeight="1">
      <c r="B36" s="7" t="inlineStr">
        <is>
          <t>► Plausible CAGR = MIN(A,B,C)</t>
        </is>
      </c>
      <c r="C36" s="87">
        <f>MIN(C33,C34,C35)</f>
        <v/>
      </c>
      <c r="D36" s="14" t="inlineStr">
        <is>
          <t>เพดานที่เป็นจริงที่สุด</t>
        </is>
      </c>
      <c r="F36" s="58" t="inlineStr">
        <is>
          <t>⚠️ รอดู (Gap +5 ถึง +10pp)</t>
        </is>
      </c>
      <c r="I36" s="124">
        <f>TEXT((($C$5*(1+$C$36+0.05)^($C$15+1)*($C$11*(1-$C$14)*(1-$C$12/$C$13))/($C$10-$C$12)/(1+$C$10)^$C$15)-$C$45)*1000/$C$44,"$0.00")&amp;" – "&amp;TEXT((($C$5*(1+$C$36+0.1)^($C$15+1)*($C$11*(1-$C$14)*(1-$C$12/$C$13))/($C$10-$C$12)/(1+$C$10)^$C$15)-$C$45)*1000/$C$44,"$0.00")</f>
        <v/>
      </c>
      <c r="K36" s="116" t="n"/>
    </row>
    <row r="37" ht="15.75" customHeight="1">
      <c r="F37" s="60" t="inlineStr">
        <is>
          <t>🔴 แพง — อย่าซื้อ (ราคา &gt;)</t>
        </is>
      </c>
      <c r="I37" s="125">
        <f>TEXT((($C$5*(1+$C$36+0.1)^($C$15+1)*($C$11*(1-$C$14)*(1-$C$12/$C$13))/($C$10-$C$12)/(1+$C$10)^$C$15)-$C$45)*1000/$C$44,"$0.00")&amp;"  (ปัจจุบัน "&amp;TEXT($C$43,"$0.00")&amp;")"</f>
        <v/>
      </c>
      <c r="K37" s="116" t="n"/>
    </row>
    <row r="38" ht="16.5" customHeight="1" thickBot="1">
      <c r="B38" s="78" t="inlineStr">
        <is>
          <t>5) VERDICT</t>
        </is>
      </c>
      <c r="F38" s="126" t="n"/>
      <c r="G38" s="127" t="n"/>
      <c r="H38" s="127" t="n"/>
      <c r="I38" s="127" t="n"/>
      <c r="J38" s="127" t="n"/>
      <c r="K38" s="128" t="n"/>
    </row>
    <row r="39" ht="15.75" customHeight="1" thickTop="1">
      <c r="B39" s="7" t="inlineStr">
        <is>
          <t>Expectation Gap = Implied − Plausible</t>
        </is>
      </c>
      <c r="C39" s="88">
        <f>C30-C36</f>
        <v/>
      </c>
    </row>
    <row r="40">
      <c r="B40" s="7" t="inlineStr">
        <is>
          <t>Buffer (±)</t>
        </is>
      </c>
      <c r="C40" s="74" t="n"/>
    </row>
    <row r="41">
      <c r="B41" s="15" t="inlineStr">
        <is>
          <t>► คำตัดสิน</t>
        </is>
      </c>
      <c r="C41" s="89">
        <f>IF(C39&gt;C40,"แพง — Priced for Perfection",IF(C39&lt;-C40,"ถูก — Low Expectations","Fair — สมเหตุสมผล"))</f>
        <v/>
      </c>
      <c r="D41" s="129" t="n"/>
    </row>
    <row r="42">
      <c r="B42" s="99" t="inlineStr">
        <is>
          <t>6) PRICE INPUT (สำหรับตาราง Upside)</t>
        </is>
      </c>
      <c r="C42" s="91" t="n"/>
      <c r="D42" s="91" t="n"/>
    </row>
    <row r="43">
      <c r="B43" s="97" t="inlineStr">
        <is>
          <t>Current Share Price ($)</t>
        </is>
      </c>
      <c r="C43" s="130" t="n"/>
      <c r="D43" s="94" t="inlineStr">
        <is>
          <t>ราคาตลาดปัจจุบัน</t>
        </is>
      </c>
    </row>
    <row r="44">
      <c r="B44" s="97" t="inlineStr">
        <is>
          <t>Shares Outstanding (M)</t>
        </is>
      </c>
      <c r="C44" s="95" t="n"/>
      <c r="D44" s="94" t="inlineStr">
        <is>
          <t>จำนวนหุ้น diluted (ล้านหุ้น)</t>
        </is>
      </c>
    </row>
    <row r="45">
      <c r="B45" s="97" t="inlineStr">
        <is>
          <t>Net Debt ($B)</t>
        </is>
      </c>
      <c r="C45" s="96" t="n"/>
      <c r="D45" s="94" t="inlineStr">
        <is>
          <t>Debt − Cash (ติดลบถ้า net cash)</t>
        </is>
      </c>
    </row>
    <row r="46">
      <c r="B46" s="97" t="inlineStr">
        <is>
          <t>Market Cap ($B) = Price × Shares</t>
        </is>
      </c>
      <c r="C46" s="98">
        <f>C43*C44/1000</f>
        <v/>
      </c>
      <c r="D46" s="94" t="inlineStr">
        <is>
          <t>ตรวจว่าใกล้เคียง EV ด้านบน</t>
        </is>
      </c>
    </row>
    <row r="47">
      <c r="B47" s="99" t="inlineStr">
        <is>
          <t>7) ANALYST CONSENSUS (เทียบมุมมอง)</t>
        </is>
      </c>
      <c r="C47" s="91" t="n"/>
      <c r="D47" s="91" t="n"/>
    </row>
    <row r="48">
      <c r="B48" s="97" t="inlineStr">
        <is>
          <t>Analyst Price Target (Avg)</t>
        </is>
      </c>
      <c r="C48" s="130" t="n"/>
      <c r="D48" s="94" t="inlineStr">
        <is>
          <t>% upside/downside vs current:</t>
        </is>
      </c>
    </row>
    <row r="49">
      <c r="B49" s="97" t="inlineStr">
        <is>
          <t>Analyst Range (Low – High)</t>
        </is>
      </c>
      <c r="C49" s="100" t="n"/>
      <c r="D49" s="131">
        <f>C48/C43-1</f>
        <v/>
      </c>
    </row>
    <row r="50">
      <c r="B50" s="97" t="inlineStr">
        <is>
          <t>Consensus FY+1 Revenue ($B)</t>
        </is>
      </c>
      <c r="C50" s="130" t="n"/>
      <c r="D50" s="131">
        <f>C50/C5-1</f>
        <v/>
      </c>
    </row>
  </sheetData>
  <mergeCells count="30">
    <mergeCell ref="F36:H36"/>
    <mergeCell ref="F33:K33"/>
    <mergeCell ref="B1:D1"/>
    <mergeCell ref="F32:K32"/>
    <mergeCell ref="I37:K37"/>
    <mergeCell ref="F25:G25"/>
    <mergeCell ref="F35:H35"/>
    <mergeCell ref="B17:D17"/>
    <mergeCell ref="H24:K24"/>
    <mergeCell ref="B38:D38"/>
    <mergeCell ref="F23:K23"/>
    <mergeCell ref="F38:K38"/>
    <mergeCell ref="F24:G24"/>
    <mergeCell ref="H26:K26"/>
    <mergeCell ref="F28:K28"/>
    <mergeCell ref="C41:D41"/>
    <mergeCell ref="F31:K31"/>
    <mergeCell ref="F27:K27"/>
    <mergeCell ref="I35:K35"/>
    <mergeCell ref="F26:G26"/>
    <mergeCell ref="F37:H37"/>
    <mergeCell ref="B24:D24"/>
    <mergeCell ref="H25:K25"/>
    <mergeCell ref="B32:D32"/>
    <mergeCell ref="I34:K34"/>
    <mergeCell ref="F29:K29"/>
    <mergeCell ref="F34:H34"/>
    <mergeCell ref="B3:D3"/>
    <mergeCell ref="I36:K36"/>
    <mergeCell ref="F30:K30"/>
  </mergeCells>
  <conditionalFormatting sqref="C41:D41">
    <cfRule type="expression" priority="2" dxfId="2">
      <formula>ISNUMBER(SEARCH("แพง",$C$41))</formula>
    </cfRule>
    <cfRule type="expression" priority="3" dxfId="1">
      <formula>ISNUMBER(SEARCH("ถูก",$C$41))</formula>
    </cfRule>
    <cfRule type="expression" priority="4" dxfId="0">
      <formula>ISNUMBER(SEARCH("Fair",$C$41))</formula>
    </cfRule>
  </conditionalFormatting>
  <conditionalFormatting sqref="G6:K10">
    <cfRule type="colorScale" priority="5">
      <colorScale>
        <cfvo type="min"/>
        <cfvo type="percentile" val="50"/>
        <cfvo type="max"/>
        <color rgb="FFE2EFDA"/>
        <color rgb="FFFFE699"/>
        <color rgb="FFF8696B"/>
      </colorScale>
    </cfRule>
  </conditionalFormatting>
  <conditionalFormatting sqref="G17:K21">
    <cfRule type="cellIs" priority="6" operator="lessThanOrEqual" dxfId="5">
      <formula>$C$36</formula>
    </cfRule>
    <cfRule type="cellIs" priority="7" operator="between" dxfId="4">
      <formula>$C$36</formula>
      <formula>$C$36+0.1</formula>
    </cfRule>
    <cfRule type="cellIs" priority="8" operator="greaterThan" dxfId="3">
      <formula>$C$36+0.1</formula>
    </cfRule>
  </conditionalFormatting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zoomScaleNormal="100" workbookViewId="0">
      <selection activeCell="P10" sqref="P10"/>
    </sheetView>
  </sheetViews>
  <sheetFormatPr baseColWidth="8" defaultColWidth="8.7109375" defaultRowHeight="15"/>
  <cols>
    <col width="12" customWidth="1" min="1" max="1"/>
    <col width="26" customWidth="1" min="2" max="2"/>
    <col width="9" customWidth="1" min="3" max="3"/>
    <col width="13" customWidth="1" min="4" max="4"/>
    <col width="12" customWidth="1" min="5" max="5"/>
    <col width="11" customWidth="1" min="6" max="6"/>
    <col width="8" customWidth="1" min="7" max="9"/>
    <col width="12" customWidth="1" min="10" max="11"/>
    <col width="9" customWidth="1" min="12" max="12"/>
    <col width="12" customWidth="1" min="13" max="13"/>
    <col width="13" customWidth="1" min="14" max="14"/>
    <col width="10" customWidth="1" min="15" max="15"/>
    <col width="24" customWidth="1" min="16" max="16"/>
    <col width="13" customWidth="1" min="17" max="17"/>
    <col width="18" customWidth="1" min="18" max="18"/>
    <col width="10" customWidth="1" min="19" max="19"/>
  </cols>
  <sheetData>
    <row r="1" ht="21.75" customHeight="1">
      <c r="A1" s="9" t="inlineStr">
        <is>
          <t>SCREENER — ตารางเทียบหุ้น แพง/ถูก ด้วย Implied CAGR</t>
        </is>
      </c>
    </row>
    <row r="2">
      <c r="R2" s="2" t="inlineStr">
        <is>
          <t>GLOBAL ASSUMPTIONS</t>
        </is>
      </c>
    </row>
    <row r="3">
      <c r="R3" s="16" t="inlineStr">
        <is>
          <t>Tax rate</t>
        </is>
      </c>
      <c r="S3" s="17" t="n">
        <v>0.21</v>
      </c>
    </row>
    <row r="4">
      <c r="R4" s="16" t="inlineStr">
        <is>
          <t>Fade factor</t>
        </is>
      </c>
      <c r="S4" s="18" t="n">
        <v>0.7</v>
      </c>
    </row>
    <row r="5">
      <c r="R5" s="16" t="inlineStr">
        <is>
          <t>Max penetration</t>
        </is>
      </c>
      <c r="S5" s="17" t="n">
        <v>0.25</v>
      </c>
    </row>
    <row r="6">
      <c r="R6" s="16" t="inlineStr">
        <is>
          <t>Absolute ceiling</t>
        </is>
      </c>
      <c r="S6" s="17" t="n">
        <v>0.45</v>
      </c>
    </row>
    <row r="7">
      <c r="R7" s="16" t="inlineStr">
        <is>
          <t>Buffer (±)</t>
        </is>
      </c>
      <c r="S7" s="17" t="n">
        <v>0.05</v>
      </c>
    </row>
    <row r="9" ht="22.5" customHeight="1">
      <c r="A9" s="19" t="inlineStr">
        <is>
          <t>Ticker</t>
        </is>
      </c>
      <c r="B9" s="19" t="inlineStr">
        <is>
          <t>Sector</t>
        </is>
      </c>
      <c r="C9" s="19" t="inlineStr">
        <is>
          <t>WACC</t>
        </is>
      </c>
      <c r="D9" s="19" t="inlineStr">
        <is>
          <t>Revenue R0 ($B)</t>
        </is>
      </c>
      <c r="E9" s="19" t="inlineStr">
        <is>
          <t>EV ($B)</t>
        </is>
      </c>
      <c r="F9" s="19" t="inlineStr">
        <is>
          <t>Term margin</t>
        </is>
      </c>
      <c r="G9" s="19" t="inlineStr">
        <is>
          <t>g</t>
        </is>
      </c>
      <c r="H9" s="19" t="inlineStr">
        <is>
          <t>ROIC</t>
        </is>
      </c>
      <c r="I9" s="19" t="inlineStr">
        <is>
          <t>N (yr)</t>
        </is>
      </c>
      <c r="J9" s="19" t="inlineStr">
        <is>
          <t>Hist CAGR 3y</t>
        </is>
      </c>
      <c r="K9" s="19" t="inlineStr">
        <is>
          <t>TAM ($B)</t>
        </is>
      </c>
      <c r="L9" s="19" t="inlineStr">
        <is>
          <t>Reinv</t>
        </is>
      </c>
      <c r="M9" s="19" t="inlineStr">
        <is>
          <t>Implied CAGR</t>
        </is>
      </c>
      <c r="N9" s="19" t="inlineStr">
        <is>
          <t>Plausible CAGR</t>
        </is>
      </c>
      <c r="O9" s="19" t="inlineStr">
        <is>
          <t>Gap (pp)</t>
        </is>
      </c>
      <c r="P9" s="19" t="inlineStr">
        <is>
          <t>Verdict</t>
        </is>
      </c>
      <c r="Q9" s="19" t="inlineStr">
        <is>
          <t>WACC override</t>
        </is>
      </c>
    </row>
    <row r="10">
      <c r="A10" s="20" t="n"/>
      <c r="B10" s="20" t="n"/>
      <c r="C10" s="21">
        <f>IF($B10="","",IF($Q10&lt;&gt;"",$Q10,IFERROR(VLOOKUP($B10,WACC_Damodaran!$A$4:$B$28,2,FALSE()),"")))</f>
        <v/>
      </c>
      <c r="D10" s="22" t="n"/>
      <c r="E10" s="22" t="n"/>
      <c r="F10" s="17" t="n"/>
      <c r="G10" s="17" t="n"/>
      <c r="H10" s="17" t="n"/>
      <c r="I10" s="23" t="n"/>
      <c r="J10" s="17" t="n"/>
      <c r="K10" s="22" t="n"/>
      <c r="L10" s="24">
        <f>IF($H10=0,"",$G10/$H10)</f>
        <v/>
      </c>
      <c r="M10" s="24">
        <f>IF(OR($D10=0,$C10=""),"",((($E10*(1+$C10)^$I10*($C10-$G10))/($F10*(1-$S$3)*(1-$G10/$H10)))/$D10)^(1/($I10+1))-1)</f>
        <v/>
      </c>
      <c r="N10" s="24">
        <f>IF($D10=0,"",MIN($J10*$S$4,IF($K10=0,999,($S$5*$K10/$D10)^(1/($I10+1))-1),$S$6))</f>
        <v/>
      </c>
      <c r="O10" s="25">
        <f>IF($M10="","",$M10-$N10)</f>
        <v/>
      </c>
      <c r="P10" s="26">
        <f>IF($M10="","",IF($O10&gt;$S$7,"แพง — Priced for Perfection",IF($O10&lt;-$S$7,"ถูก — Low Expectations","Fair — สมเหตุสมผล")))</f>
        <v/>
      </c>
      <c r="Q10" s="17" t="n"/>
    </row>
    <row r="11">
      <c r="A11" s="27" t="n"/>
      <c r="B11" s="20" t="n"/>
      <c r="C11" s="21">
        <f>IF($B11="","",IF($Q11&lt;&gt;"",$Q11,IFERROR(VLOOKUP($B11,WACC_Damodaran!$A$4:$B$28,2,FALSE()),"")))</f>
        <v/>
      </c>
      <c r="D11" s="22" t="n"/>
      <c r="E11" s="22" t="n"/>
      <c r="F11" s="17" t="n"/>
      <c r="G11" s="17" t="n"/>
      <c r="H11" s="17" t="n"/>
      <c r="I11" s="23" t="n"/>
      <c r="J11" s="17" t="n"/>
      <c r="K11" s="22" t="n"/>
      <c r="L11" s="24">
        <f>IF($H11=0,"",$G11/$H11)</f>
        <v/>
      </c>
      <c r="M11" s="24">
        <f>IF(OR($D11=0,$C11=""),"",((($E11*(1+$C11)^$I11*($C11-$G11))/($F11*(1-$S$3)*(1-$G11/$H11)))/$D11)^(1/($I11+1))-1)</f>
        <v/>
      </c>
      <c r="N11" s="24">
        <f>IF($D11=0,"",MIN($J11*$S$4,IF($K11=0,999,($S$5*$K11/$D11)^(1/($I11+1))-1),$S$6))</f>
        <v/>
      </c>
      <c r="O11" s="25">
        <f>IF($M11="","",$M11-$N11)</f>
        <v/>
      </c>
      <c r="P11" s="26">
        <f>IF($M11="","",IF($O11&gt;$S$7,"แพง — Priced for Perfection",IF($O11&lt;-$S$7,"ถูก — Low Expectations","Fair — สมเหตุสมผล")))</f>
        <v/>
      </c>
      <c r="Q11" s="17" t="n"/>
    </row>
    <row r="12">
      <c r="A12" s="27" t="n"/>
      <c r="B12" s="20" t="n"/>
      <c r="C12" s="21">
        <f>IF($B12="","",IF($Q12&lt;&gt;"",$Q12,IFERROR(VLOOKUP($B12,WACC_Damodaran!$A$4:$B$28,2,FALSE()),"")))</f>
        <v/>
      </c>
      <c r="D12" s="22" t="n"/>
      <c r="E12" s="22" t="n"/>
      <c r="F12" s="17" t="n"/>
      <c r="G12" s="17" t="n"/>
      <c r="H12" s="17" t="n"/>
      <c r="I12" s="23" t="n"/>
      <c r="J12" s="17" t="n"/>
      <c r="K12" s="22" t="n"/>
      <c r="L12" s="24">
        <f>IF($H12=0,"",$G12/$H12)</f>
        <v/>
      </c>
      <c r="M12" s="24">
        <f>IF(OR($D12=0,$C12=""),"",((($E12*(1+$C12)^$I12*($C12-$G12))/($F12*(1-$S$3)*(1-$G12/$H12)))/$D12)^(1/($I12+1))-1)</f>
        <v/>
      </c>
      <c r="N12" s="24">
        <f>IF($D12=0,"",MIN($J12*$S$4,IF($K12=0,999,($S$5*$K12/$D12)^(1/($I12+1))-1),$S$6))</f>
        <v/>
      </c>
      <c r="O12" s="25">
        <f>IF($M12="","",$M12-$N12)</f>
        <v/>
      </c>
      <c r="P12" s="26">
        <f>IF($M12="","",IF($O12&gt;$S$7,"แพง — Priced for Perfection",IF($O12&lt;-$S$7,"ถูก — Low Expectations","Fair — สมเหตุสมผล")))</f>
        <v/>
      </c>
      <c r="Q12" s="17" t="n"/>
    </row>
    <row r="13">
      <c r="A13" s="27" t="n"/>
      <c r="B13" s="20" t="n"/>
      <c r="C13" s="21">
        <f>IF($B13="","",IF($Q13&lt;&gt;"",$Q13,IFERROR(VLOOKUP($B13,WACC_Damodaran!$A$4:$B$28,2,FALSE()),"")))</f>
        <v/>
      </c>
      <c r="D13" s="22" t="n"/>
      <c r="E13" s="22" t="n"/>
      <c r="F13" s="17" t="n"/>
      <c r="G13" s="17" t="n"/>
      <c r="H13" s="17" t="n"/>
      <c r="I13" s="23" t="n"/>
      <c r="J13" s="17" t="n"/>
      <c r="K13" s="22" t="n"/>
      <c r="L13" s="24">
        <f>IF($H13=0,"",$G13/$H13)</f>
        <v/>
      </c>
      <c r="M13" s="24">
        <f>IF(OR($D13=0,$C13=""),"",((($E13*(1+$C13)^$I13*($C13-$G13))/($F13*(1-$S$3)*(1-$G13/$H13)))/$D13)^(1/($I13+1))-1)</f>
        <v/>
      </c>
      <c r="N13" s="24">
        <f>IF($D13=0,"",MIN($J13*$S$4,IF($K13=0,999,($S$5*$K13/$D13)^(1/($I13+1))-1),$S$6))</f>
        <v/>
      </c>
      <c r="O13" s="25">
        <f>IF($M13="","",$M13-$N13)</f>
        <v/>
      </c>
      <c r="P13" s="26">
        <f>IF($M13="","",IF($O13&gt;$S$7,"แพง — Priced for Perfection",IF($O13&lt;-$S$7,"ถูก — Low Expectations","Fair — สมเหตุสมผล")))</f>
        <v/>
      </c>
      <c r="Q13" s="17" t="n"/>
    </row>
    <row r="14">
      <c r="A14" s="27" t="n"/>
      <c r="B14" s="20" t="n"/>
      <c r="C14" s="21">
        <f>IF($B14="","",IF($Q14&lt;&gt;"",$Q14,IFERROR(VLOOKUP($B14,WACC_Damodaran!$A$4:$B$28,2,FALSE()),"")))</f>
        <v/>
      </c>
      <c r="D14" s="22" t="n"/>
      <c r="E14" s="22" t="n"/>
      <c r="F14" s="17" t="n"/>
      <c r="G14" s="17" t="n"/>
      <c r="H14" s="17" t="n"/>
      <c r="I14" s="23" t="n"/>
      <c r="J14" s="17" t="n"/>
      <c r="K14" s="22" t="n"/>
      <c r="L14" s="24">
        <f>IF($H14=0,"",$G14/$H14)</f>
        <v/>
      </c>
      <c r="M14" s="24">
        <f>IF(OR($D14=0,$C14=""),"",((($E14*(1+$C14)^$I14*($C14-$G14))/($F14*(1-$S$3)*(1-$G14/$H14)))/$D14)^(1/($I14+1))-1)</f>
        <v/>
      </c>
      <c r="N14" s="24">
        <f>IF($D14=0,"",MIN($J14*$S$4,IF($K14=0,999,($S$5*$K14/$D14)^(1/($I14+1))-1),$S$6))</f>
        <v/>
      </c>
      <c r="O14" s="25">
        <f>IF($M14="","",$M14-$N14)</f>
        <v/>
      </c>
      <c r="P14" s="26">
        <f>IF($M14="","",IF($O14&gt;$S$7,"แพง — Priced for Perfection",IF($O14&lt;-$S$7,"ถูก — Low Expectations","Fair — สมเหตุสมผล")))</f>
        <v/>
      </c>
      <c r="Q14" s="17" t="n"/>
    </row>
    <row r="15">
      <c r="A15" s="27" t="n"/>
      <c r="B15" s="20" t="n"/>
      <c r="C15" s="21">
        <f>IF($B15="","",IF($Q15&lt;&gt;"",$Q15,IFERROR(VLOOKUP($B15,WACC_Damodaran!$A$4:$B$28,2,FALSE()),"")))</f>
        <v/>
      </c>
      <c r="D15" s="22" t="n"/>
      <c r="E15" s="22" t="n"/>
      <c r="F15" s="17" t="n"/>
      <c r="G15" s="17" t="n"/>
      <c r="H15" s="17" t="n"/>
      <c r="I15" s="23" t="n"/>
      <c r="J15" s="17" t="n"/>
      <c r="K15" s="22" t="n"/>
      <c r="L15" s="24">
        <f>IF($H15=0,"",$G15/$H15)</f>
        <v/>
      </c>
      <c r="M15" s="24">
        <f>IF(OR($D15=0,$C15=""),"",((($E15*(1+$C15)^$I15*($C15-$G15))/($F15*(1-$S$3)*(1-$G15/$H15)))/$D15)^(1/($I15+1))-1)</f>
        <v/>
      </c>
      <c r="N15" s="24">
        <f>IF($D15=0,"",MIN($J15*$S$4,IF($K15=0,999,($S$5*$K15/$D15)^(1/($I15+1))-1),$S$6))</f>
        <v/>
      </c>
      <c r="O15" s="25">
        <f>IF($M15="","",$M15-$N15)</f>
        <v/>
      </c>
      <c r="P15" s="26">
        <f>IF($M15="","",IF($O15&gt;$S$7,"แพง — Priced for Perfection",IF($O15&lt;-$S$7,"ถูก — Low Expectations","Fair — สมเหตุสมผล")))</f>
        <v/>
      </c>
      <c r="Q15" s="17" t="n"/>
    </row>
    <row r="16">
      <c r="A16" s="27" t="n"/>
      <c r="B16" s="20" t="n"/>
      <c r="C16" s="21">
        <f>IF($B16="","",IF($Q16&lt;&gt;"",$Q16,IFERROR(VLOOKUP($B16,WACC_Damodaran!$A$4:$B$28,2,FALSE()),"")))</f>
        <v/>
      </c>
      <c r="D16" s="22" t="n"/>
      <c r="E16" s="22" t="n"/>
      <c r="F16" s="17" t="n"/>
      <c r="G16" s="17" t="n"/>
      <c r="H16" s="17" t="n"/>
      <c r="I16" s="23" t="n"/>
      <c r="J16" s="17" t="n"/>
      <c r="K16" s="22" t="n"/>
      <c r="L16" s="24">
        <f>IF($H16=0,"",$G16/$H16)</f>
        <v/>
      </c>
      <c r="M16" s="24">
        <f>IF(OR($D16=0,$C16=""),"",((($E16*(1+$C16)^$I16*($C16-$G16))/($F16*(1-$S$3)*(1-$G16/$H16)))/$D16)^(1/($I16+1))-1)</f>
        <v/>
      </c>
      <c r="N16" s="24">
        <f>IF($D16=0,"",MIN($J16*$S$4,IF($K16=0,999,($S$5*$K16/$D16)^(1/($I16+1))-1),$S$6))</f>
        <v/>
      </c>
      <c r="O16" s="25">
        <f>IF($M16="","",$M16-$N16)</f>
        <v/>
      </c>
      <c r="P16" s="26">
        <f>IF($M16="","",IF($O16&gt;$S$7,"แพง — Priced for Perfection",IF($O16&lt;-$S$7,"ถูก — Low Expectations","Fair — สมเหตุสมผล")))</f>
        <v/>
      </c>
      <c r="Q16" s="17" t="n"/>
    </row>
    <row r="17">
      <c r="A17" s="27" t="n"/>
      <c r="B17" s="20" t="n"/>
      <c r="C17" s="21">
        <f>IF($B17="","",IF($Q17&lt;&gt;"",$Q17,IFERROR(VLOOKUP($B17,WACC_Damodaran!$A$4:$B$28,2,FALSE()),"")))</f>
        <v/>
      </c>
      <c r="D17" s="22" t="n"/>
      <c r="E17" s="22" t="n"/>
      <c r="F17" s="17" t="n"/>
      <c r="G17" s="17" t="n"/>
      <c r="H17" s="17" t="n"/>
      <c r="I17" s="23" t="n"/>
      <c r="J17" s="17" t="n"/>
      <c r="K17" s="22" t="n"/>
      <c r="L17" s="24">
        <f>IF($H17=0,"",$G17/$H17)</f>
        <v/>
      </c>
      <c r="M17" s="24">
        <f>IF(OR($D17=0,$C17=""),"",((($E17*(1+$C17)^$I17*($C17-$G17))/($F17*(1-$S$3)*(1-$G17/$H17)))/$D17)^(1/($I17+1))-1)</f>
        <v/>
      </c>
      <c r="N17" s="24">
        <f>IF($D17=0,"",MIN($J17*$S$4,IF($K17=0,999,($S$5*$K17/$D17)^(1/($I17+1))-1),$S$6))</f>
        <v/>
      </c>
      <c r="O17" s="25">
        <f>IF($M17="","",$M17-$N17)</f>
        <v/>
      </c>
      <c r="P17" s="26">
        <f>IF($M17="","",IF($O17&gt;$S$7,"แพง — Priced for Perfection",IF($O17&lt;-$S$7,"ถูก — Low Expectations","Fair — สมเหตุสมผล")))</f>
        <v/>
      </c>
      <c r="Q17" s="17" t="n"/>
    </row>
    <row r="18">
      <c r="A18" s="27" t="n"/>
      <c r="B18" s="20" t="n"/>
      <c r="C18" s="21">
        <f>IF($B18="","",IF($Q18&lt;&gt;"",$Q18,IFERROR(VLOOKUP($B18,WACC_Damodaran!$A$4:$B$28,2,FALSE()),"")))</f>
        <v/>
      </c>
      <c r="D18" s="22" t="n"/>
      <c r="E18" s="22" t="n"/>
      <c r="F18" s="17" t="n"/>
      <c r="G18" s="17" t="n"/>
      <c r="H18" s="17" t="n"/>
      <c r="I18" s="23" t="n"/>
      <c r="J18" s="17" t="n"/>
      <c r="K18" s="22" t="n"/>
      <c r="L18" s="24">
        <f>IF($H18=0,"",$G18/$H18)</f>
        <v/>
      </c>
      <c r="M18" s="24">
        <f>IF(OR($D18=0,$C18=""),"",((($E18*(1+$C18)^$I18*($C18-$G18))/($F18*(1-$S$3)*(1-$G18/$H18)))/$D18)^(1/($I18+1))-1)</f>
        <v/>
      </c>
      <c r="N18" s="24">
        <f>IF($D18=0,"",MIN($J18*$S$4,IF($K18=0,999,($S$5*$K18/$D18)^(1/($I18+1))-1),$S$6))</f>
        <v/>
      </c>
      <c r="O18" s="25">
        <f>IF($M18="","",$M18-$N18)</f>
        <v/>
      </c>
      <c r="P18" s="26">
        <f>IF($M18="","",IF($O18&gt;$S$7,"แพง — Priced for Perfection",IF($O18&lt;-$S$7,"ถูก — Low Expectations","Fair — สมเหตุสมผล")))</f>
        <v/>
      </c>
      <c r="Q18" s="17" t="n"/>
    </row>
    <row r="19">
      <c r="A19" s="27" t="n"/>
      <c r="B19" s="20" t="n"/>
      <c r="C19" s="21">
        <f>IF($B19="","",IF($Q19&lt;&gt;"",$Q19,IFERROR(VLOOKUP($B19,WACC_Damodaran!$A$4:$B$28,2,FALSE()),"")))</f>
        <v/>
      </c>
      <c r="D19" s="22" t="n"/>
      <c r="E19" s="22" t="n"/>
      <c r="F19" s="17" t="n"/>
      <c r="G19" s="17" t="n"/>
      <c r="H19" s="17" t="n"/>
      <c r="I19" s="23" t="n"/>
      <c r="J19" s="17" t="n"/>
      <c r="K19" s="22" t="n"/>
      <c r="L19" s="24">
        <f>IF($H19=0,"",$G19/$H19)</f>
        <v/>
      </c>
      <c r="M19" s="24">
        <f>IF(OR($D19=0,$C19=""),"",((($E19*(1+$C19)^$I19*($C19-$G19))/($F19*(1-$S$3)*(1-$G19/$H19)))/$D19)^(1/($I19+1))-1)</f>
        <v/>
      </c>
      <c r="N19" s="24">
        <f>IF($D19=0,"",MIN($J19*$S$4,IF($K19=0,999,($S$5*$K19/$D19)^(1/($I19+1))-1),$S$6))</f>
        <v/>
      </c>
      <c r="O19" s="25">
        <f>IF($M19="","",$M19-$N19)</f>
        <v/>
      </c>
      <c r="P19" s="26">
        <f>IF($M19="","",IF($O19&gt;$S$7,"แพง — Priced for Perfection",IF($O19&lt;-$S$7,"ถูก — Low Expectations","Fair — สมเหตุสมผล")))</f>
        <v/>
      </c>
      <c r="Q19" s="17" t="n"/>
    </row>
    <row r="21">
      <c r="A21" s="13" t="inlineStr">
        <is>
          <t>หมายเหตุ: Sector ต้องสะกดให้ตรงกับชีต WACC_Damodaran เป๊ะ (พิมพ์ตามหรือก๊อปมา) WACC ถึงจะดึงค่ามา</t>
        </is>
      </c>
    </row>
  </sheetData>
  <mergeCells count="3">
    <mergeCell ref="A1:P1"/>
    <mergeCell ref="R2:S2"/>
    <mergeCell ref="A21:P21"/>
  </mergeCells>
  <conditionalFormatting sqref="O10:O19">
    <cfRule type="colorScale" priority="5">
      <colorScale>
        <cfvo type="num" val="-0.1"/>
        <cfvo type="num" val="0.1"/>
        <cfvo type="num" val="0.4"/>
        <color rgb="FFC6E0B4"/>
        <color rgb="FFFFEB9C"/>
        <color rgb="FFF8696B"/>
      </colorScale>
    </cfRule>
  </conditionalFormatting>
  <conditionalFormatting sqref="P10:P19">
    <cfRule type="expression" priority="2" dxfId="2">
      <formula>ISNUMBER(SEARCH("แพง",$P10))</formula>
    </cfRule>
    <cfRule type="expression" priority="3" dxfId="1">
      <formula>ISNUMBER(SEARCH("ถูก",$P10))</formula>
    </cfRule>
    <cfRule type="expression" priority="4" dxfId="0">
      <formula>ISNUMBER(SEARCH("Fair",$P10))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8"/>
  <sheetViews>
    <sheetView showGridLines="0" zoomScaleNormal="100" workbookViewId="0">
      <selection activeCell="B4" sqref="B4"/>
    </sheetView>
  </sheetViews>
  <sheetFormatPr baseColWidth="8" defaultColWidth="8.7109375" defaultRowHeight="15"/>
  <cols>
    <col width="2" customWidth="1" min="1" max="1"/>
    <col width="115" customWidth="1" min="2" max="2"/>
  </cols>
  <sheetData>
    <row r="1" ht="21.75" customHeight="1">
      <c r="B1" s="9" t="inlineStr">
        <is>
          <t>AI PROMPTS — ดึงงบมากรอกเครื่องมือ</t>
        </is>
      </c>
    </row>
    <row r="3">
      <c r="B3" s="28" t="inlineStr">
        <is>
          <t>PROMPT A — ดึง input ฟันดาเมนทัล (เปลี่ยน [TICKER] แล้ววางให้ Claude พร้อมไฟล์งบ)</t>
        </is>
      </c>
    </row>
    <row r="4" ht="392.25" customHeight="1">
      <c r="B4" s="29" t="inlineStr">
        <is>
          <t>คุณคือ buy-side equity analyst — ดึงข้อมูลเพื่อป้อนโมเดล Reverse DCF
หุ้น: [TICKER]
=== ⚠️ ข้อบังคับสำคัญ (อ่านก่อนลงมือทำงาน) ===
1. ตรวจเช็คข้อมูลให้ละเอียด — ลำดับแหล่ง: 10-K/10-Q/20-F ล่าสุด Stock Analysis, Seeking Alpha&gt; earnings presentation/transcript &gt; company guidance &gt; consensus &gt; market data ถ้าขัดกัน → ยึดแหล่ง quality สูงสุด ระบุ time basis ทุกตัว (FY/LTM/NTM) ห้ามเดา — ถ้าไม่มั่นใจเขียน "ต้อง verify"
2. บันทึกลง Engine ทุกครั้ง — ข้อมูลที่ดึงมา ต้องลง cell ใน Engine (C4-C50) พร้อม source note บน cell ทุกตัว
3. บันทึกลง Screener ทุกครั้ง — append แถวใหม่ใน Screener ต่อท้ายแถวเดิม ห้ามลบของเก่า — หาก user ไม่ต้องการ จะสั่งลบเอง
4. Sector ต้องสะกดตรงชีต WACC_Damodaran เป๊ะ (พิมพ์ตามหรือก๊อปมา) ไม่งั้น WACC จะดึงไม่ติด
=== ข้อมูลที่ต้องส่ง (ตาราง + หน่วย + source) ===
  1) Current Revenue R0 ($B) — FY ล่าสุด (ระบุไตรมาส/ปีบัญชี)
  2) Enterprise Value ($B) = market cap + net debt (ถ้า private ใช้ valuation รอบล่าสุด)
  3) Sector — แมปชื่อใน Damodaran (Semiconductor, Aerospace/Defense, Software (System/Application), ฯลฯ)
  4) Terminal EBIT margin (%) — ประเมินจาก margin ปัจจุบัน + เพดานอุตสาหกรรม (อย่าสูงเกินจริง)
  5) Terminal ROIC (%) — จาก ROIC ปัจจุบัน/peer (ห้ามอย่า hardcode 20% ถ้าจริงต่ำ)
  6) Tax rate (%) — effective tax จริง (ระวังบริษัท Cayman/Ireland → ต่ำกว่า 21%)
  7) Historical Revenue CAGR 3 ปี (%) — ระบุ base period ชัด (peak→now / trough→now / cycle blend)
  8) TAM ($B) + Forward CAGR FY+1 (%) — จากบริษัท guidance หรือ consensus
  9) Current price + Shares outstanding + Net debt — สำหรับตาราง WACC × Price
  10) Analyst consensus avg target + range + FY+1 revenue consensus
=== ปิดท้ายด้วย flag ===
• มูลค่าบริษัทส่วนใหญ่อยู่ปลายทางหรือยัง (เหมาะ Terminal-Anchored ไหม) Y/N + เหตุผล
• สิ่งที่ต้อง verify เพิ่ม (ตัวเลขที่ไม่มั่นใจ 100%)</t>
        </is>
      </c>
    </row>
    <row r="6" ht="56.25" customHeight="1">
      <c r="B6" s="30" t="inlineStr">
        <is>
          <t>Workflow:
1) รัน Prompt A → AI ดึงข้อมูล verify จาก official sources
2) AI บันทึกลง Engine ให้เอง + append ลง Screener ทุกครั้ง (ไม่ต้องสั่ง)
3) เครื่องมือคำนวณ Implied vs Plausible CAGR + verdict ให้เอง — Plausible CAGR heuristic อยู่ในไฟล์อยู่แล้ว ไม่ต้องถาม AI ซ้ำ
4) User ลบแถว Screener ออกเองตามต้องการ</t>
        </is>
      </c>
    </row>
    <row r="8">
      <c r="B8" s="31" t="inlineStr">
        <is>
          <t>จัดทำโดย Earthh Evans · แจกฟรีห้ามจำหน่าย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2026-05-30T17:00:34Z</dcterms:created>
  <dcterms:modified xsi:type="dcterms:W3CDTF">2026-06-02T19:55:09Z</dcterms:modified>
  <cp:lastModifiedBy>Earth Evans</cp:lastModifiedBy>
  <cp:revision>0</cp:revision>
</cp:coreProperties>
</file>